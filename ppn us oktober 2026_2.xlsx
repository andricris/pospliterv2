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bookViews>
    <workbookView windowWidth="28800" windowHeight="12300" tabRatio="787" activeTab="2"/>
  </bookViews>
  <sheets>
    <sheet name="REKAP" sheetId="17" r:id="rId1"/>
    <sheet name="US" sheetId="18" r:id="rId2"/>
    <sheet name="PP" sheetId="16" r:id="rId3"/>
  </sheets>
  <definedNames>
    <definedName name="_xlnm._FilterDatabase" localSheetId="2" hidden="1">PP!$A$6:$AR$116</definedName>
    <definedName name="CBG">#REF!</definedName>
    <definedName name="mamat">#REF!</definedName>
    <definedName name="PCL">#REF!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<sst xmlns="http://schemas.openxmlformats.org/spreadsheetml/2006/main" count="665" uniqueCount="314">
  <si>
    <t>Sum of Purch Plan by kelipatan2</t>
  </si>
  <si>
    <t>Column Labels</t>
  </si>
  <si>
    <t>Row Labels</t>
  </si>
  <si>
    <t>FAST MOVING</t>
  </si>
  <si>
    <t>FOCUS</t>
  </si>
  <si>
    <t>NEW PRODUCT</t>
  </si>
  <si>
    <t>OTHERS</t>
  </si>
  <si>
    <t>Grand Total</t>
  </si>
  <si>
    <t>DERMANESIA</t>
  </si>
  <si>
    <t>INDOFOOD CBP</t>
  </si>
  <si>
    <t>INTERBAT PT.</t>
  </si>
  <si>
    <t>LOREAL INDONESIA</t>
  </si>
  <si>
    <t>LYNEA PRIMISIMA</t>
  </si>
  <si>
    <t>MAY SUN YVAN</t>
  </si>
  <si>
    <t>MUNCUL MEKAR</t>
  </si>
  <si>
    <t>PERTIWI AGUNG</t>
  </si>
  <si>
    <t>PT ANUGRAH INOVASI MAKMUR INDONESIA</t>
  </si>
  <si>
    <t>PT MAMAC DISTRIBUSI INDO</t>
  </si>
  <si>
    <t>PT PEPSICO INDONESIA FOOD AND BEVERAGES</t>
  </si>
  <si>
    <t>* pembelian sesuai data VMI hasil diskusi Commercial dgn principal</t>
  </si>
  <si>
    <t>PT. ARJUNA PERKASA UTAMA</t>
  </si>
  <si>
    <t>PT. HEONZ ROYAL JAYA</t>
  </si>
  <si>
    <t>PT. QUAKER INDONESIA</t>
  </si>
  <si>
    <t>ROHTO LABORATORIES INDONESIA</t>
  </si>
  <si>
    <t>SUNTONE WISDOM INDONESIA</t>
  </si>
  <si>
    <t>* tidak ada budget PP</t>
  </si>
  <si>
    <t>ULTRA SAKTI</t>
  </si>
  <si>
    <t>SUPPLIER</t>
  </si>
  <si>
    <t>Versi US</t>
  </si>
  <si>
    <t>Sum of Total Stok Nasional2</t>
  </si>
  <si>
    <t>Sum of  AMS(2A+1F)2</t>
  </si>
  <si>
    <t>Sum of  FORECAST FINAL2</t>
  </si>
  <si>
    <t>Sum of  PO OUTSTANDING PRINCIPAL2</t>
  </si>
  <si>
    <t xml:space="preserve">PO PENDING + PP </t>
  </si>
  <si>
    <t>Stok end sept</t>
  </si>
  <si>
    <t>AMS2+1</t>
  </si>
  <si>
    <t>FORECAST US</t>
  </si>
  <si>
    <t>INDAL</t>
  </si>
  <si>
    <t>OBAT DALAM/MADU</t>
  </si>
  <si>
    <t>HERBA</t>
  </si>
  <si>
    <t>HOTIN</t>
  </si>
  <si>
    <t>BEBIO</t>
  </si>
  <si>
    <t>FRESH CARE</t>
  </si>
  <si>
    <t>MY WELL</t>
  </si>
  <si>
    <t>FRESHLIVING</t>
  </si>
  <si>
    <t>TRESNO JOYO</t>
  </si>
  <si>
    <t>HNA</t>
  </si>
  <si>
    <t>Value HNA</t>
  </si>
  <si>
    <t>Value HPP</t>
  </si>
  <si>
    <t>OKTOBER 2026</t>
  </si>
  <si>
    <t>E</t>
  </si>
  <si>
    <t>J</t>
  </si>
  <si>
    <t>W</t>
  </si>
  <si>
    <t>AK</t>
  </si>
  <si>
    <t>BO</t>
  </si>
  <si>
    <t>AA</t>
  </si>
  <si>
    <t>AC</t>
  </si>
  <si>
    <t>AD</t>
  </si>
  <si>
    <t>AG</t>
  </si>
  <si>
    <t>AI</t>
  </si>
  <si>
    <t>CJ</t>
  </si>
  <si>
    <t>AP</t>
  </si>
  <si>
    <t>BK</t>
  </si>
  <si>
    <t>NO</t>
  </si>
  <si>
    <t>PART NO</t>
  </si>
  <si>
    <t>DESCRIPTION</t>
  </si>
  <si>
    <t>Category</t>
  </si>
  <si>
    <t xml:space="preserve"> HNA UM</t>
  </si>
  <si>
    <t xml:space="preserve"> AMS3
QTY</t>
  </si>
  <si>
    <t xml:space="preserve"> FORECAST FINAL</t>
  </si>
  <si>
    <t xml:space="preserve"> AMS(2A+1F)</t>
  </si>
  <si>
    <t xml:space="preserve"> On hand FGB Cab &gt; 6 bln</t>
  </si>
  <si>
    <t xml:space="preserve"> GIT</t>
  </si>
  <si>
    <t xml:space="preserve"> PO
PENDING</t>
  </si>
  <si>
    <t xml:space="preserve"> STOCK KPST AVAILABLE &gt; 6 bln</t>
  </si>
  <si>
    <t xml:space="preserve"> PO OUTSTANDING PRINCIPAL</t>
  </si>
  <si>
    <t xml:space="preserve"> QTY DROPPING PURCH PLAN (KELIPATAN)</t>
  </si>
  <si>
    <t xml:space="preserve"> MASTER BOX</t>
  </si>
  <si>
    <t xml:space="preserve"> INDEX DOI AGREEMENT</t>
  </si>
  <si>
    <t>Total Stok Nasional</t>
  </si>
  <si>
    <t>Current DOI (to AMS2+1)</t>
  </si>
  <si>
    <t>Kebutuhan Purchase sesuai DA)</t>
  </si>
  <si>
    <t>Kekurangan Stok KPST utk Dropping</t>
  </si>
  <si>
    <t>Suggested Purch Plan by PPIC</t>
  </si>
  <si>
    <t>Purch Plan by kelipatan</t>
  </si>
  <si>
    <t>DOI After Purchase</t>
  </si>
  <si>
    <t>HPP</t>
  </si>
  <si>
    <t>note</t>
  </si>
  <si>
    <t>selisih</t>
  </si>
  <si>
    <t>V4 (konstanta 0,5)</t>
  </si>
  <si>
    <t>V4 (konstanta 0,75)</t>
  </si>
  <si>
    <t>V4 (konstanta 1)</t>
  </si>
  <si>
    <t>po cons 0,5</t>
  </si>
  <si>
    <t>po sisa</t>
  </si>
  <si>
    <t>P7100014</t>
  </si>
  <si>
    <t>FRESHLIVING BEBIO C&amp;F 9 ML</t>
  </si>
  <si>
    <t>P7100015</t>
  </si>
  <si>
    <t>FRESHLIVING BEBIO ITCHY 9 ML</t>
  </si>
  <si>
    <t>P7100016</t>
  </si>
  <si>
    <t>FRESHLIVING BEBIO TUMMY 9 ML</t>
  </si>
  <si>
    <t>P7100023</t>
  </si>
  <si>
    <t>BEBIO BABY HAIR LOTION 100ML</t>
  </si>
  <si>
    <t>P7100024</t>
  </si>
  <si>
    <t>BEBIO HEAD TOTOE BABY WASH 250ML</t>
  </si>
  <si>
    <t>P7100033</t>
  </si>
  <si>
    <t>BEBIO MINYAK TELON 60ML</t>
  </si>
  <si>
    <t>P7100034</t>
  </si>
  <si>
    <t>BEBIO MINYAK TELON PLUS 60ML</t>
  </si>
  <si>
    <t>P7100045</t>
  </si>
  <si>
    <t>BEBIO FACE &amp; BODY BABY SERUM 80G</t>
  </si>
  <si>
    <t>P7100051</t>
  </si>
  <si>
    <t>BEBIO SMOOTHIE HAIR SERUM 50ML</t>
  </si>
  <si>
    <t>P7100052</t>
  </si>
  <si>
    <t>BEBIO CLOUD CIDDLE BABY COLOGNE100M</t>
  </si>
  <si>
    <t>P7100019</t>
  </si>
  <si>
    <t>FRESHCARE SMASH 8 ML</t>
  </si>
  <si>
    <t>P7100021</t>
  </si>
  <si>
    <t>FRESHCARE SMASH MATCHA</t>
  </si>
  <si>
    <t>P7100026</t>
  </si>
  <si>
    <t>FRESHCARE STRONG 15+5 ML</t>
  </si>
  <si>
    <t>P7100041</t>
  </si>
  <si>
    <t>FRESHCARE SMASH FRUITY</t>
  </si>
  <si>
    <t>P7100044</t>
  </si>
  <si>
    <t>FRESHCARE VAPOBALM MATCHA 10G</t>
  </si>
  <si>
    <t>P7100046</t>
  </si>
  <si>
    <t>FRESHCARE VAPOBALM SAKURA 10G</t>
  </si>
  <si>
    <t>P7100047</t>
  </si>
  <si>
    <t>FRESHCARE SMASH SAKURA</t>
  </si>
  <si>
    <t>P7100050</t>
  </si>
  <si>
    <t>FRESHCARE SAKURA MATCHA BOX</t>
  </si>
  <si>
    <t>P71FCGTL</t>
  </si>
  <si>
    <t>FRESH CARE GREEN TEA 10 ML</t>
  </si>
  <si>
    <t>P71FCLMT</t>
  </si>
  <si>
    <t>FRESH CARE CITRUS 10 ML</t>
  </si>
  <si>
    <t>P71FCLVL</t>
  </si>
  <si>
    <t>FRESH CARE LAVENDER 10 ML</t>
  </si>
  <si>
    <t>P71FCMAL</t>
  </si>
  <si>
    <t>FRESH CARE STRONG 10 ML</t>
  </si>
  <si>
    <t>P71FCMCS</t>
  </si>
  <si>
    <t>FRESHCARE MIX CITRUS</t>
  </si>
  <si>
    <t>P71FCMKP</t>
  </si>
  <si>
    <t>FRESHCARE MINYAK ANGIN KAYU PUTIH</t>
  </si>
  <si>
    <t>P71FCSFL</t>
  </si>
  <si>
    <t>FRESH CARE SPLASH FRUITY 10 ML</t>
  </si>
  <si>
    <t>P71FCSPT</t>
  </si>
  <si>
    <t>FRESH CARE SPORT 10 ML</t>
  </si>
  <si>
    <t>P71FCSWA</t>
  </si>
  <si>
    <t>FRESH CARE SANDALWOOD 10 ML</t>
  </si>
  <si>
    <t>P71FCTBG</t>
  </si>
  <si>
    <t>FRESHCARE TEENS BUBBLE GUM</t>
  </si>
  <si>
    <t>P71FCTHC</t>
  </si>
  <si>
    <t>FRESHCARE TEENS HAPPY CHERRY</t>
  </si>
  <si>
    <t>P71FCTPF</t>
  </si>
  <si>
    <t>FRESHCARE TEENS PASSION FRUIT</t>
  </si>
  <si>
    <t>P71FPRSB</t>
  </si>
  <si>
    <t>FRESHCARE PRESS &amp; RELAX STRONG</t>
  </si>
  <si>
    <t>P71PRKP1</t>
  </si>
  <si>
    <t>FRESHCARE PRESS &amp; RELAX MA KAYU P</t>
  </si>
  <si>
    <t>P7100049</t>
  </si>
  <si>
    <t>FRESHLIVING ZAITUN BODY SERUM 80 GR</t>
  </si>
  <si>
    <t>P71FLMZ5</t>
  </si>
  <si>
    <t>FL MINYAK ZAITUN 50 ML</t>
  </si>
  <si>
    <t>P7100008</t>
  </si>
  <si>
    <t>MINYAK HERBA WAHID 100 ML</t>
  </si>
  <si>
    <t>P7100042</t>
  </si>
  <si>
    <t>MINYAK URUT WAHID BPU  50ML</t>
  </si>
  <si>
    <t>P7100009</t>
  </si>
  <si>
    <t>HOTIN GO 100 GR</t>
  </si>
  <si>
    <t>P7100010</t>
  </si>
  <si>
    <t>HOTIN GO STRONG 100 GR</t>
  </si>
  <si>
    <t>P7100013</t>
  </si>
  <si>
    <t>HOTIN GO STRONG TUBE 50 GR</t>
  </si>
  <si>
    <t>P7100032</t>
  </si>
  <si>
    <t>HOTIN BALSEM OTOT EXTRA HOT 20G</t>
  </si>
  <si>
    <t>P7100036</t>
  </si>
  <si>
    <t>HOTIN ORIGINAL TUBE 30G</t>
  </si>
  <si>
    <t>P7100037</t>
  </si>
  <si>
    <t>HOTIN STRONG TUBE 30G</t>
  </si>
  <si>
    <t>P7100043</t>
  </si>
  <si>
    <t>HOTIN COOL GEL TUBE 50G</t>
  </si>
  <si>
    <t>P7100053</t>
  </si>
  <si>
    <t>HOTIN DCL ZERO TUBE 60G</t>
  </si>
  <si>
    <t>P71HCATA</t>
  </si>
  <si>
    <t>HOTIN CREAM AROMATHERAPY TUBE 60 G</t>
  </si>
  <si>
    <t>P71HCATB</t>
  </si>
  <si>
    <t>HOTIN CREAM AROMATHERAPY TUBE 120G</t>
  </si>
  <si>
    <t>P71HCS60</t>
  </si>
  <si>
    <t>HOTIN CREAM STRONG 60 GR</t>
  </si>
  <si>
    <t>P71HCT12</t>
  </si>
  <si>
    <t>HOTIN CREAM TUBE 120 GR</t>
  </si>
  <si>
    <t>P71HCT60</t>
  </si>
  <si>
    <t>HOTIN CREAM TUBE 60 GR</t>
  </si>
  <si>
    <t>P71HDCLD</t>
  </si>
  <si>
    <t>HOTIN DCL 120 GR</t>
  </si>
  <si>
    <t>P71HOKYA</t>
  </si>
  <si>
    <t>HOTIN KOYO AROMATHERAPY</t>
  </si>
  <si>
    <t>P71HOSTT</t>
  </si>
  <si>
    <t>HOTIN STRONG TUBE 120 GR</t>
  </si>
  <si>
    <t>P71HOTD3</t>
  </si>
  <si>
    <t>HOTIN DCL 30 GR</t>
  </si>
  <si>
    <t>P71HOTD6</t>
  </si>
  <si>
    <t>HOTIN DCL 60 GR</t>
  </si>
  <si>
    <t>P71HSBLA</t>
  </si>
  <si>
    <t>HOTIN STRONG BOTOL 120 GR</t>
  </si>
  <si>
    <t>P71HSGTA</t>
  </si>
  <si>
    <t>HOTIN STRONG TUBE 60 GR</t>
  </si>
  <si>
    <t>P71HTA60</t>
  </si>
  <si>
    <t>HOTIN AROMATHERAPY 60 GR</t>
  </si>
  <si>
    <t>P71HTC60</t>
  </si>
  <si>
    <t>HOTIN CREAM 60 GR</t>
  </si>
  <si>
    <t>P71HTNC2</t>
  </si>
  <si>
    <t>HOTIN CREAM 120 GR</t>
  </si>
  <si>
    <t>P71HTNC3</t>
  </si>
  <si>
    <t>HOTIN CREAM AROMATHERAPY 120 GR</t>
  </si>
  <si>
    <t>P7100002</t>
  </si>
  <si>
    <t>INDAL - CTN @10 TAB AMPLOP</t>
  </si>
  <si>
    <t>P7100048</t>
  </si>
  <si>
    <t>PROZLEEP DIPHENHYDRAMINE HCI 25 MG</t>
  </si>
  <si>
    <t>P7100030</t>
  </si>
  <si>
    <t>MYWELL VITAMIN D3 4000 IU ISI 20</t>
  </si>
  <si>
    <t>P71MVTCZ</t>
  </si>
  <si>
    <t>MYWELL VIT C + ZN</t>
  </si>
  <si>
    <t>P71MWD31</t>
  </si>
  <si>
    <t>MYWELL VITAMIN D3 1000 IU</t>
  </si>
  <si>
    <t>P71OM3T3</t>
  </si>
  <si>
    <t>OM3HEART SOFTGELS 600MG - ISI 30</t>
  </si>
  <si>
    <t>P71OM3T6</t>
  </si>
  <si>
    <t>OM3HEART SOFTGELS 600MG - ISI 60</t>
  </si>
  <si>
    <t>P71WELMV</t>
  </si>
  <si>
    <t>WELMOVE @5 CAP AMPLOP</t>
  </si>
  <si>
    <t>P71WMUS5</t>
  </si>
  <si>
    <t>WELMOVE ULTRA @5 CAP AMPLOP</t>
  </si>
  <si>
    <t>P7100007</t>
  </si>
  <si>
    <t>MADU TJ HONEY COMB 250 GR</t>
  </si>
  <si>
    <t>P7100011</t>
  </si>
  <si>
    <t>TJ OBH 150 GR</t>
  </si>
  <si>
    <t>P7100031</t>
  </si>
  <si>
    <t>MADU TJ MURNI 875 GRAM</t>
  </si>
  <si>
    <t>P7100038</t>
  </si>
  <si>
    <t>TJ JOYBUMIN 200 ML</t>
  </si>
  <si>
    <t>P71JBM21</t>
  </si>
  <si>
    <t>TJ JOYBEE ORIGINAL 100 ML</t>
  </si>
  <si>
    <t>P71JGRW2</t>
  </si>
  <si>
    <t>TJ JOYBEE GROW EMULSION 200ML</t>
  </si>
  <si>
    <t>P71JOMS1</t>
  </si>
  <si>
    <t>TJ JOYBEE STRAWBERRY 100 ML</t>
  </si>
  <si>
    <t>P71MAN25</t>
  </si>
  <si>
    <t>MADU TJ MANUKA 250 GR</t>
  </si>
  <si>
    <t>P71MDJPD</t>
  </si>
  <si>
    <t>MADU TJ PANAS DALAM 150GR</t>
  </si>
  <si>
    <t>P71MHP25</t>
  </si>
  <si>
    <t>MADU TJ HITAM PAHIT 250 GR</t>
  </si>
  <si>
    <t>P71MJMN1</t>
  </si>
  <si>
    <t>MADU TJ JAHE MERAH MINT 150 GR</t>
  </si>
  <si>
    <t>P71MJMN2</t>
  </si>
  <si>
    <t>MADU TJ JAHE MERAH MINT 250 GR</t>
  </si>
  <si>
    <t>P71MKT5A</t>
  </si>
  <si>
    <t>MADU KURMA TJ 250 GR</t>
  </si>
  <si>
    <t>P71MKTJA</t>
  </si>
  <si>
    <t>MADU KURMA TJ 150 GR</t>
  </si>
  <si>
    <t>P71MKTJB</t>
  </si>
  <si>
    <t>MADU KURMA TJ 500 GR</t>
  </si>
  <si>
    <t>P71MMRP5</t>
  </si>
  <si>
    <t>MADU TJ MURNI POUCH 500 GR</t>
  </si>
  <si>
    <t>P71MTJRA</t>
  </si>
  <si>
    <t>MADU TJ SACHET JERUK 20 GR</t>
  </si>
  <si>
    <t>P71MTJSA</t>
  </si>
  <si>
    <t>MADU TJ SACHET STRAWBERRY 20 GR</t>
  </si>
  <si>
    <t>P71MTM15</t>
  </si>
  <si>
    <t>MADU TJ MURNI 150GR</t>
  </si>
  <si>
    <t>P71MTM25</t>
  </si>
  <si>
    <t>MADU TJ MURNI 250GR</t>
  </si>
  <si>
    <t>P71MTM5A</t>
  </si>
  <si>
    <t>MADU TJ MURNI 500 GR</t>
  </si>
  <si>
    <t>P71MTS15</t>
  </si>
  <si>
    <t>MADU TJ SUPER 150GR</t>
  </si>
  <si>
    <t>P71MTS25</t>
  </si>
  <si>
    <t>MADU TJ SUPER 250GR</t>
  </si>
  <si>
    <t>P71MTS5A</t>
  </si>
  <si>
    <t>MADU TJ SUPER 500 GR</t>
  </si>
  <si>
    <t>P71SKTJ1</t>
  </si>
  <si>
    <t>SARI KURMA TJ 250 GR</t>
  </si>
  <si>
    <t>P71TEVIJ</t>
  </si>
  <si>
    <t>TJ JOYBEE JERUK 100 ML</t>
  </si>
  <si>
    <t>P71TJBBG</t>
  </si>
  <si>
    <t>TJ JOYBEE GUMMY</t>
  </si>
  <si>
    <t>P71TJMAN</t>
  </si>
  <si>
    <t>TJ MASUK ANGIN 140 GR</t>
  </si>
  <si>
    <t>P71TJMLA</t>
  </si>
  <si>
    <t>MADU LEMON TJ 150 GR</t>
  </si>
  <si>
    <t>P71TJMO2</t>
  </si>
  <si>
    <t>MADU TJ SACHET ORIGINAL 20 GR</t>
  </si>
  <si>
    <t>P71BLTL2</t>
  </si>
  <si>
    <t>BALSEM TELON TJ 20 GR</t>
  </si>
  <si>
    <t>P71BLTL4</t>
  </si>
  <si>
    <t>BALSEM TELON TJ 40 GR</t>
  </si>
  <si>
    <t>P71MKPL1</t>
  </si>
  <si>
    <t>M. KAYU PUTIH LOS TJ 120 ML</t>
  </si>
  <si>
    <t>P71MKPL3</t>
  </si>
  <si>
    <t>M. KAYU PUTIH LOS TJ 30 ML</t>
  </si>
  <si>
    <t>P71MKPL6</t>
  </si>
  <si>
    <t>M. KAYU PUTIH LOS TJ 60 ML</t>
  </si>
  <si>
    <t>P71MT03B</t>
  </si>
  <si>
    <t>MINYAK TELON 100 ML BAND. MT 30</t>
  </si>
  <si>
    <t>P71MT060</t>
  </si>
  <si>
    <t>MINYAK TELON TJ 60 ML</t>
  </si>
  <si>
    <t>P71TGPC6</t>
  </si>
  <si>
    <t>TELON HERBAL PLUSS CITRONELLA 60ML</t>
  </si>
  <si>
    <t>P71TGPL6</t>
  </si>
  <si>
    <t>TELON HERBAL PLUSS LAVENDER 60ML</t>
  </si>
  <si>
    <t>P71TGPO6</t>
  </si>
  <si>
    <t>TELON HERBAL PLUSS ORANGE 60ML</t>
  </si>
  <si>
    <t>P71THPC3</t>
  </si>
  <si>
    <t>THP CITRONELLA 100ML BAND. MT 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</si>
</sst>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-&quot;Rp&quot;* #,##0_-;\-&quot;Rp&quot;* #,##0_-;_-&quot;Rp&quot;* &quot;-&quot;??_-;_-@_-"/>
    <numFmt numFmtId="179" formatCode="_(* #,##0_);_(* \(#,##0\);_(* &quot;-&quot;??_);_(@_)"/>
  </numFmts>
  <fonts count="32">
    <font>
      <sz val="11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92D050"/>
      <name val="Calibri"/>
      <charset val="134"/>
    </font>
    <font>
      <sz val="9"/>
      <color rgb="FF92D050"/>
      <name val="Calibri"/>
      <charset val="134"/>
    </font>
    <font>
      <b/>
      <sz val="10"/>
      <color theme="9" tint="-0.499984740745262"/>
      <name val="Calibri"/>
      <charset val="134"/>
    </font>
    <font>
      <sz val="9"/>
      <color theme="9" tint="-0.499984740745262"/>
      <name val="Calibri"/>
      <charset val="134"/>
    </font>
    <font>
      <b/>
      <sz val="12"/>
      <name val="Calibri"/>
      <charset val="134"/>
    </font>
    <font>
      <b/>
      <sz val="12"/>
      <color theme="1"/>
      <name val="Calibri"/>
      <charset val="134"/>
    </font>
    <font>
      <b/>
      <sz val="10"/>
      <color rgb="FF92D050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799981688894314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theme="6" tint="0.399975585192419"/>
        <bgColor rgb="FFFFFFFF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B050"/>
      </left>
      <right style="thin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B050"/>
      </left>
      <right style="thin">
        <color rgb="FF00B050"/>
      </right>
      <top style="medium">
        <color rgb="FF00B050"/>
      </top>
      <bottom style="medium">
        <color rgb="FF00B050"/>
      </bottom>
      <diagonal/>
    </border>
    <border>
      <left style="thin">
        <color rgb="FF00B050"/>
      </left>
      <right/>
      <top style="medium">
        <color rgb="FF00B050"/>
      </top>
      <bottom style="medium">
        <color rgb="FF00B05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177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178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3" borderId="2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0" borderId="24" applyNumberFormat="0" applyFill="0" applyAlignment="0" applyProtection="0">
      <alignment vertical="center"/>
    </xf>
    <xf numFmtId="0" fontId="20" fillId="0" borderId="2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4" borderId="26" applyNumberFormat="0" applyAlignment="0" applyProtection="0">
      <alignment vertical="center"/>
    </xf>
    <xf numFmtId="0" fontId="22" fillId="15" borderId="27" applyNumberFormat="0" applyAlignment="0" applyProtection="0">
      <alignment vertical="center"/>
    </xf>
    <xf numFmtId="0" fontId="23" fillId="15" borderId="26" applyNumberFormat="0" applyAlignment="0" applyProtection="0">
      <alignment vertical="center"/>
    </xf>
    <xf numFmtId="0" fontId="24" fillId="16" borderId="28" applyNumberFormat="0" applyAlignment="0" applyProtection="0">
      <alignment vertical="center"/>
    </xf>
    <xf numFmtId="0" fontId="25" fillId="0" borderId="29" applyNumberFormat="0" applyFill="0" applyAlignment="0" applyProtection="0">
      <alignment vertical="center"/>
    </xf>
    <xf numFmtId="0" fontId="26" fillId="0" borderId="30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</cellStyleXfs>
  <cellXfs count="77">
    <xf numFmtId="0" fontId="0" fillId="0" borderId="0" xfId="0" applyFill="1"/>
    <xf numFmtId="0" fontId="1" fillId="0" borderId="0" xfId="0" applyFont="1" applyFill="1"/>
    <xf numFmtId="41" fontId="1" fillId="0" borderId="0" xfId="4" applyFont="1" applyFill="1"/>
    <xf numFmtId="179" fontId="1" fillId="0" borderId="0" xfId="1" applyNumberFormat="1" applyFont="1" applyFill="1"/>
    <xf numFmtId="0" fontId="2" fillId="2" borderId="0" xfId="0" applyFont="1" applyFill="1"/>
    <xf numFmtId="179" fontId="3" fillId="2" borderId="0" xfId="0" applyNumberFormat="1" applyFont="1" applyFill="1"/>
    <xf numFmtId="176" fontId="2" fillId="2" borderId="0" xfId="1" applyFont="1" applyFill="1"/>
    <xf numFmtId="41" fontId="2" fillId="0" borderId="1" xfId="4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1" xfId="0" applyFont="1" applyFill="1" applyBorder="1"/>
    <xf numFmtId="179" fontId="2" fillId="2" borderId="0" xfId="0" applyNumberFormat="1" applyFont="1" applyFill="1"/>
    <xf numFmtId="41" fontId="2" fillId="0" borderId="4" xfId="4" applyFont="1" applyFill="1" applyBorder="1"/>
    <xf numFmtId="0" fontId="2" fillId="0" borderId="0" xfId="0" applyFont="1" applyFill="1" applyBorder="1"/>
    <xf numFmtId="0" fontId="2" fillId="0" borderId="5" xfId="0" applyFont="1" applyFill="1" applyBorder="1"/>
    <xf numFmtId="0" fontId="2" fillId="0" borderId="4" xfId="0" applyFont="1" applyFill="1" applyBorder="1"/>
    <xf numFmtId="0" fontId="4" fillId="3" borderId="6" xfId="0" applyFont="1" applyFill="1" applyBorder="1" applyAlignment="1">
      <alignment horizontal="center" vertical="center"/>
    </xf>
    <xf numFmtId="179" fontId="5" fillId="4" borderId="7" xfId="1" applyNumberFormat="1" applyFont="1" applyFill="1" applyBorder="1" applyAlignment="1">
      <alignment horizontal="center" vertical="center"/>
    </xf>
    <xf numFmtId="0" fontId="5" fillId="4" borderId="7" xfId="0" applyFont="1" applyFill="1" applyBorder="1"/>
    <xf numFmtId="0" fontId="5" fillId="4" borderId="7" xfId="0" applyFont="1" applyFill="1" applyBorder="1" applyAlignment="1">
      <alignment horizontal="center" vertical="center"/>
    </xf>
    <xf numFmtId="179" fontId="5" fillId="4" borderId="7" xfId="1" applyNumberFormat="1" applyFont="1" applyFill="1" applyBorder="1" applyAlignment="1">
      <alignment vertical="center"/>
    </xf>
    <xf numFmtId="179" fontId="5" fillId="4" borderId="8" xfId="1" applyNumberFormat="1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2" borderId="9" xfId="0" applyFont="1" applyFill="1" applyBorder="1"/>
    <xf numFmtId="0" fontId="8" fillId="2" borderId="0" xfId="0" applyFont="1" applyFill="1" applyAlignment="1">
      <alignment horizontal="center"/>
    </xf>
    <xf numFmtId="41" fontId="9" fillId="0" borderId="4" xfId="4" applyFont="1" applyFill="1" applyBorder="1"/>
    <xf numFmtId="0" fontId="4" fillId="6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4" fillId="6" borderId="11" xfId="51" applyFont="1" applyFill="1" applyBorder="1" applyAlignment="1">
      <alignment horizontal="center" vertical="center" wrapText="1"/>
    </xf>
    <xf numFmtId="41" fontId="4" fillId="8" borderId="11" xfId="4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9" borderId="11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10" fillId="0" borderId="12" xfId="0" applyFont="1" applyFill="1" applyBorder="1" applyAlignment="1">
      <alignment horizontal="center" vertical="center" wrapText="1"/>
    </xf>
    <xf numFmtId="179" fontId="1" fillId="0" borderId="0" xfId="1" applyNumberFormat="1" applyFont="1" applyFill="1" applyAlignment="1">
      <alignment wrapText="1"/>
    </xf>
    <xf numFmtId="0" fontId="1" fillId="0" borderId="13" xfId="0" applyFont="1" applyFill="1" applyBorder="1"/>
    <xf numFmtId="0" fontId="1" fillId="0" borderId="14" xfId="0" applyFont="1" applyFill="1" applyBorder="1"/>
    <xf numFmtId="179" fontId="1" fillId="0" borderId="14" xfId="1" applyNumberFormat="1" applyFont="1" applyFill="1" applyBorder="1"/>
    <xf numFmtId="179" fontId="1" fillId="5" borderId="14" xfId="1" applyNumberFormat="1" applyFont="1" applyFill="1" applyBorder="1"/>
    <xf numFmtId="41" fontId="1" fillId="0" borderId="14" xfId="4" applyFont="1" applyFill="1" applyBorder="1"/>
    <xf numFmtId="179" fontId="1" fillId="0" borderId="14" xfId="0" applyNumberFormat="1" applyFont="1" applyFill="1" applyBorder="1"/>
    <xf numFmtId="0" fontId="1" fillId="0" borderId="15" xfId="0" applyFont="1" applyFill="1" applyBorder="1"/>
    <xf numFmtId="0" fontId="11" fillId="0" borderId="0" xfId="0" applyFont="1" applyFill="1" applyAlignment="1">
      <alignment horizontal="center" vertical="center" wrapText="1"/>
    </xf>
    <xf numFmtId="41" fontId="0" fillId="0" borderId="0" xfId="4" applyFont="1" applyFill="1"/>
    <xf numFmtId="0" fontId="0" fillId="0" borderId="14" xfId="0" applyFill="1" applyBorder="1"/>
    <xf numFmtId="41" fontId="11" fillId="4" borderId="14" xfId="4" applyFont="1" applyFill="1" applyBorder="1" applyAlignment="1">
      <alignment horizontal="center"/>
    </xf>
    <xf numFmtId="0" fontId="0" fillId="0" borderId="14" xfId="0" applyFill="1" applyBorder="1" applyAlignment="1">
      <alignment horizontal="center" vertical="center" wrapText="1"/>
    </xf>
    <xf numFmtId="0" fontId="11" fillId="0" borderId="14" xfId="0" applyFont="1" applyFill="1" applyBorder="1" applyAlignment="1">
      <alignment horizontal="center" vertical="center" wrapText="1"/>
    </xf>
    <xf numFmtId="41" fontId="11" fillId="0" borderId="14" xfId="4" applyFont="1" applyFill="1" applyBorder="1" applyAlignment="1">
      <alignment horizontal="center" vertical="center" wrapText="1"/>
    </xf>
    <xf numFmtId="41" fontId="11" fillId="4" borderId="14" xfId="4" applyFont="1" applyFill="1" applyBorder="1" applyAlignment="1">
      <alignment horizontal="center" vertical="center" wrapText="1"/>
    </xf>
    <xf numFmtId="0" fontId="0" fillId="0" borderId="14" xfId="0" applyFill="1" applyBorder="1" applyAlignment="1">
      <alignment horizontal="left"/>
    </xf>
    <xf numFmtId="0" fontId="0" fillId="0" borderId="14" xfId="0" applyNumberFormat="1" applyFill="1" applyBorder="1"/>
    <xf numFmtId="41" fontId="0" fillId="0" borderId="14" xfId="4" applyFont="1" applyFill="1" applyBorder="1"/>
    <xf numFmtId="41" fontId="0" fillId="0" borderId="0" xfId="0" applyNumberFormat="1" applyFill="1"/>
    <xf numFmtId="0" fontId="11" fillId="0" borderId="0" xfId="0" applyFont="1" applyFill="1"/>
    <xf numFmtId="179" fontId="0" fillId="0" borderId="0" xfId="1" applyNumberFormat="1" applyFont="1" applyFill="1"/>
    <xf numFmtId="0" fontId="0" fillId="0" borderId="16" xfId="0" applyFill="1" applyBorder="1"/>
    <xf numFmtId="179" fontId="0" fillId="0" borderId="17" xfId="0" applyNumberFormat="1" applyFill="1" applyBorder="1"/>
    <xf numFmtId="179" fontId="0" fillId="0" borderId="18" xfId="0" applyNumberFormat="1" applyFill="1" applyBorder="1"/>
    <xf numFmtId="0" fontId="11" fillId="0" borderId="9" xfId="0" applyFont="1" applyFill="1" applyBorder="1"/>
    <xf numFmtId="179" fontId="11" fillId="0" borderId="19" xfId="0" applyNumberFormat="1" applyFont="1" applyFill="1" applyBorder="1"/>
    <xf numFmtId="179" fontId="11" fillId="0" borderId="20" xfId="0" applyNumberFormat="1" applyFont="1" applyFill="1" applyBorder="1"/>
    <xf numFmtId="179" fontId="11" fillId="0" borderId="21" xfId="0" applyNumberFormat="1" applyFont="1" applyFill="1" applyBorder="1"/>
    <xf numFmtId="179" fontId="11" fillId="0" borderId="9" xfId="0" applyNumberFormat="1" applyFont="1" applyFill="1" applyBorder="1"/>
    <xf numFmtId="179" fontId="0" fillId="10" borderId="14" xfId="0" applyNumberFormat="1" applyFill="1" applyBorder="1"/>
    <xf numFmtId="179" fontId="0" fillId="11" borderId="14" xfId="0" applyNumberFormat="1" applyFill="1" applyBorder="1"/>
    <xf numFmtId="179" fontId="0" fillId="12" borderId="14" xfId="0" applyNumberFormat="1" applyFill="1" applyBorder="1"/>
    <xf numFmtId="0" fontId="0" fillId="0" borderId="0" xfId="0" applyFont="1" applyFill="1"/>
    <xf numFmtId="0" fontId="11" fillId="0" borderId="11" xfId="0" applyFont="1" applyFill="1" applyBorder="1" applyAlignment="1">
      <alignment horizontal="left"/>
    </xf>
    <xf numFmtId="179" fontId="11" fillId="0" borderId="22" xfId="0" applyNumberFormat="1" applyFont="1" applyFill="1" applyBorder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  <cellStyle name="Normal 2 2" xfId="51"/>
  </cellStyles>
  <dxfs count="60"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numFmt numFmtId="179" formatCode="_(* #,##0_);_(* \(#,##0\);_(* &quot;-&quot;??_);_(@_)"/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b val="1"/>
      </font>
    </dxf>
    <dxf>
      <font>
        <b val="1"/>
      </font>
    </dxf>
    <dxf>
      <fill>
        <patternFill patternType="solid">
          <bgColor theme="6" tint="0.399975585192419"/>
        </patternFill>
      </fill>
    </dxf>
    <dxf>
      <fill>
        <patternFill patternType="solid">
          <bgColor theme="6" tint="0.39997558519241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fill>
        <patternFill patternType="solid">
          <bgColor theme="6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ill>
        <patternFill patternType="solid">
          <bgColor theme="5" tint="0.599993896298105"/>
        </patternFill>
      </fill>
    </dxf>
    <dxf>
      <font>
        <b val="1"/>
      </font>
    </dxf>
    <dxf>
      <font>
        <b val="1"/>
      </font>
    </dxf>
    <dxf>
      <alignment wrapText="1"/>
    </dxf>
    <dxf>
      <alignment wrapText="1"/>
    </dxf>
    <dxf>
      <alignment horizontal="center"/>
    </dxf>
    <dxf>
      <alignment horizontal="center"/>
    </dxf>
    <dxf>
      <alignment vertical="center"/>
    </dxf>
    <dxf>
      <alignment vertical="center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1"/>
      </font>
    </dxf>
    <dxf>
      <alignment horizontal="center"/>
    </dxf>
    <dxf>
      <alignment vertical="center"/>
    </dxf>
    <dxf>
      <alignment wrapText="1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freshedDate="46297.4307871528" refreshedBy="User" recordCount="1748">
  <cacheSource type="worksheet">
    <worksheetSource ref="A6:AP116" sheet="PP"/>
  </cacheSource>
  <cacheFields count="42">
    <cacheField name="NO" numFmtId="0"/>
    <cacheField name="SUPPLIER" numFmtId="0">
      <sharedItems count="18">
        <s v=""/>
        <s v="PERTIWI AGUNG"/>
        <s v="LYNEA PRIMISIMA"/>
        <s v="ROHTO LABORATORIES INDONESIA"/>
        <s v="INTERBAT PT."/>
        <s v="ULTRA SAKTI"/>
        <s v="LOREAL INDONESIA"/>
        <s v="INDOFOOD CBP"/>
        <s v="DERMANESIA"/>
        <s v="MUNCUL MEKAR"/>
        <s v="MAY SUN YVAN"/>
        <s v="SUNTONE WISDOM INDONESIA"/>
        <s v="PT MAMAC DISTRIBUSI INDO"/>
        <s v="PT ANUGRAH INOVASI MAKMUR INDONESIA"/>
        <s v="PT PEPSICO INDONESIA FOOD AND BEVERAGES"/>
        <s v="PT. HEONZ ROYAL JAYA"/>
        <s v="PT. ARJUNA PERKASA UTAMA"/>
        <s v="PT. QUAKER INDONESIA"/>
      </sharedItems>
    </cacheField>
    <cacheField name="PART NO" numFmtId="0"/>
    <cacheField name="DESCRIPTION" numFmtId="0"/>
    <cacheField name="Category" numFmtId="0">
      <sharedItems count="5">
        <s v=""/>
        <s v="OTHERS"/>
        <s v="FOCUS"/>
        <s v="FAST MOVING"/>
        <s v="NEW PRODUCT"/>
      </sharedItems>
    </cacheField>
    <cacheField name=" HNA UM" numFmtId="179"/>
    <cacheField name=" AMS3_x000a_QTY" numFmtId="179"/>
    <cacheField name=" FORECAST FINAL" numFmtId="179"/>
    <cacheField name=" AMS(2A+1F)" numFmtId="179"/>
    <cacheField name=" On hand FGB Cab &gt; 6 bln" numFmtId="179"/>
    <cacheField name=" GIT" numFmtId="179"/>
    <cacheField name=" PO_x000a_PENDING" numFmtId="179"/>
    <cacheField name=" STOCK KPST AVAILABLE &gt; 6 bln" numFmtId="179"/>
    <cacheField name=" PO OUTSTANDING PRINCIPAL" numFmtId="179"/>
    <cacheField name=" QTY DROPPING PURCH PLAN (KELIPATAN)" numFmtId="179"/>
    <cacheField name=" MASTER BOX" numFmtId="179"/>
    <cacheField name=" INDEX DOI AGREEMENT" numFmtId="179"/>
    <cacheField name="Total Stok Nasional" numFmtId="179"/>
    <cacheField name="Current DOI (to AMS2+1)" numFmtId="0"/>
    <cacheField name="Kebutuhan Purchase sesuai DA)" numFmtId="179"/>
    <cacheField name="Kekurangan Stok KPST utk Dropping" numFmtId="179"/>
    <cacheField name="Suggested Purch Plan by PPIC" numFmtId="179"/>
    <cacheField name="Purch Plan by kelipatan" numFmtId="179"/>
    <cacheField name="DOI After Purchase" numFmtId="179"/>
    <cacheField name="Purch Plan by kelipatan2" numFmtId="41"/>
    <cacheField name=" AMS3_x000a_QTY2" numFmtId="179"/>
    <cacheField name=" FORECAST FINAL2" numFmtId="179"/>
    <cacheField name=" AMS(2A+1F)2" numFmtId="179"/>
    <cacheField name=" PO OUTSTANDING PRINCIPAL2" numFmtId="179"/>
    <cacheField name="Total Stok Nasional2" numFmtId="179"/>
    <cacheField name="HPP" numFmtId="179"/>
    <cacheField name="Purch Plan by kelipatan3" numFmtId="179"/>
    <cacheField name=" AMS3_x000a_QTY3" numFmtId="179"/>
    <cacheField name=" FORECAST FINAL3" numFmtId="179"/>
    <cacheField name=" AMS(2A+1F)3" numFmtId="179"/>
    <cacheField name=" PO OUTSTANDING PRINCIPAL3" numFmtId="179"/>
    <cacheField name="Total Stok Nasional3" numFmtId="179"/>
    <cacheField name="note" numFmtId="0">
      <sharedItems containsBlank="1" containsNumber="1" containsInteger="1" containsMixedTypes="1" count="12">
        <m/>
        <n v="0"/>
        <s v="KOSONG"/>
        <s v="INDAL"/>
        <s v="OBAT DALAM/MADU"/>
        <s v="HERBA"/>
        <s v="HOTIN"/>
        <s v="BEBIO"/>
        <s v="FRESH CARE"/>
        <s v="MY WELL"/>
        <s v="FRESHLIVING"/>
        <s v="TRESNO JOYO"/>
      </sharedItems>
    </cacheField>
    <cacheField name="selisih" numFmtId="0"/>
    <cacheField name="V4 (konstanta 0,5)" numFmtId="0"/>
    <cacheField name="V4 (konstanta 0,75)" numFmtId="0"/>
    <cacheField name="V4 (konstanta 1)" numFmtI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48">
  <r>
    <m/>
    <x v="0"/>
    <s v=""/>
    <s v=""/>
    <x v="0"/>
    <s v=""/>
    <s v=""/>
    <s v=""/>
    <s v=""/>
    <s v=""/>
    <s v=""/>
    <s v=""/>
    <s v=""/>
    <s v=""/>
    <n v="0"/>
    <s v=""/>
    <s v=""/>
    <s v=""/>
    <s v=""/>
    <s v=""/>
    <s v=""/>
    <n v="0"/>
    <n v="0"/>
    <s v=""/>
    <n v="0"/>
    <m/>
    <m/>
    <m/>
    <m/>
    <m/>
    <n v="0"/>
    <m/>
    <m/>
    <m/>
    <m/>
    <m/>
    <m/>
    <x v="0"/>
    <m/>
    <m/>
    <m/>
    <m/>
  </r>
  <r>
    <n v="1"/>
    <x v="1"/>
    <s v="P0300001"/>
    <s v="HALOWELL D3 1000 TABLETKUNYAH 2X10S"/>
    <x v="1"/>
    <n v="30000"/>
    <n v="5864.333333333303"/>
    <n v="5455"/>
    <n v="6070.666666666667"/>
    <n v="3426"/>
    <n v="1038"/>
    <n v="0"/>
    <n v="4678"/>
    <n v="0"/>
    <n v="3570"/>
    <n v="36"/>
    <n v="90"/>
    <n v="9142"/>
    <n v="45.177904678234128"/>
    <n v="14525"/>
    <n v="0"/>
    <n v="14525"/>
    <n v="4600"/>
    <n v="40.952668570173508"/>
    <n v="138000000"/>
    <n v="175929999.99999908"/>
    <n v="163650000"/>
    <n v="182120000"/>
    <n v="0"/>
    <n v="274260000"/>
    <n v="20850"/>
    <n v="95910000"/>
    <n v="122271349.99999937"/>
    <n v="113736750"/>
    <n v="126573400"/>
    <n v="0"/>
    <n v="190610700"/>
    <x v="0"/>
    <n v="4600"/>
    <n v="0"/>
    <n v="0"/>
    <n v="0"/>
  </r>
  <r>
    <n v="2"/>
    <x v="1"/>
    <s v="P0300016"/>
    <s v="CORMEGA BLISTER (C)"/>
    <x v="1"/>
    <n v="405000"/>
    <n v="108.99999999999966"/>
    <n v="150"/>
    <n v="117.33333333333333"/>
    <n v="739"/>
    <n v="0"/>
    <n v="0"/>
    <n v="0"/>
    <n v="0"/>
    <n v="0"/>
    <n v="32"/>
    <n v="90"/>
    <n v="739"/>
    <n v="188.94886363636365"/>
    <n v="0"/>
    <n v="0"/>
    <n v="0"/>
    <n v="0"/>
    <n v="150.59659090909093"/>
    <n v="0"/>
    <n v="44144999.999999858"/>
    <n v="60750000"/>
    <n v="47520000"/>
    <n v="0"/>
    <n v="299295000"/>
    <n v="281475"/>
    <n v="0"/>
    <n v="30680774.999999903"/>
    <n v="42221250"/>
    <n v="33026400"/>
    <n v="0"/>
    <n v="208010025"/>
    <x v="0"/>
    <n v="0"/>
    <n v="0"/>
    <n v="0"/>
    <n v="0"/>
  </r>
  <r>
    <n v="3"/>
    <x v="1"/>
    <s v="P0300017"/>
    <s v="CORMEGA SOFT CAPS (C)"/>
    <x v="1"/>
    <n v="390000"/>
    <n v="83.999999999999304"/>
    <n v="195"/>
    <n v="111.66666666666666"/>
    <n v="391"/>
    <n v="0"/>
    <n v="0"/>
    <n v="0"/>
    <n v="0"/>
    <n v="36"/>
    <n v="30"/>
    <n v="90"/>
    <n v="391"/>
    <n v="105.044776119403"/>
    <n v="139"/>
    <n v="36"/>
    <n v="139"/>
    <n v="0"/>
    <n v="52.656716417910452"/>
    <n v="0"/>
    <n v="32759999.999999728"/>
    <n v="76050000"/>
    <n v="43550000"/>
    <n v="0"/>
    <n v="152490000"/>
    <n v="271050"/>
    <n v="0"/>
    <n v="22768199.99999981"/>
    <n v="52854750"/>
    <n v="30267249.999999996"/>
    <n v="0"/>
    <n v="105980550"/>
    <x v="0"/>
    <n v="-36"/>
    <n v="0"/>
    <n v="0"/>
    <n v="0"/>
  </r>
  <r>
    <n v="4"/>
    <x v="1"/>
    <s v="P0300018"/>
    <s v="ASTRIA 4MG SOFTCAP 2X6S(WULAN)"/>
    <x v="1"/>
    <n v="90000"/>
    <n v="7.9999999999999698"/>
    <n v="0"/>
    <n v="-0.66666666666666663"/>
    <n v="2"/>
    <n v="0"/>
    <n v="0"/>
    <n v="0"/>
    <n v="0"/>
    <n v="0"/>
    <n v="36"/>
    <n v="90"/>
    <n v="2"/>
    <n v="9999"/>
    <n v="0"/>
    <n v="0"/>
    <n v="0"/>
    <n v="0"/>
    <n v="9999"/>
    <n v="0"/>
    <n v="719999.99999999732"/>
    <n v="0"/>
    <n v="-60000"/>
    <n v="0"/>
    <n v="180000"/>
    <n v="62550"/>
    <n v="0"/>
    <n v="500399.99999999814"/>
    <n v="0"/>
    <n v="-41700"/>
    <n v="0"/>
    <n v="125100"/>
    <x v="0"/>
    <n v="0"/>
    <n v="0"/>
    <n v="0"/>
    <n v="0"/>
  </r>
  <r>
    <n v="5"/>
    <x v="1"/>
    <s v="P0300019"/>
    <s v="ASTRIA CATCH COVER 4S(WULAN)"/>
    <x v="1"/>
    <n v="30000"/>
    <n v="116.3333333333337"/>
    <n v="0"/>
    <n v="58.333333333333329"/>
    <n v="274"/>
    <n v="0"/>
    <n v="0"/>
    <n v="0"/>
    <n v="0"/>
    <n v="36"/>
    <n v="36"/>
    <n v="90"/>
    <n v="274"/>
    <n v="140.91428571428571"/>
    <n v="0"/>
    <n v="36"/>
    <n v="0"/>
    <n v="0"/>
    <n v="140.91428571428571"/>
    <n v="0"/>
    <n v="3490000.0000000107"/>
    <n v="0"/>
    <n v="1749999.9999999998"/>
    <n v="0"/>
    <n v="8220000"/>
    <n v="20850"/>
    <n v="0"/>
    <n v="2425550.0000000075"/>
    <n v="0"/>
    <n v="1216250"/>
    <n v="0"/>
    <n v="5712900"/>
    <x v="0"/>
    <n v="-36"/>
    <n v="0"/>
    <n v="0"/>
    <n v="0"/>
  </r>
  <r>
    <n v="6"/>
    <x v="1"/>
    <s v="P0300020"/>
    <s v="ASTRIA FORCE6MG SOFTCAP2X6S(WULAN)"/>
    <x v="1"/>
    <n v="108000"/>
    <n v="0.33333333333329984"/>
    <n v="0"/>
    <n v="0.66666666666666663"/>
    <n v="10"/>
    <n v="0"/>
    <n v="0"/>
    <n v="0"/>
    <n v="0"/>
    <n v="0"/>
    <n v="36"/>
    <n v="90"/>
    <n v="10"/>
    <n v="450"/>
    <n v="0"/>
    <n v="0"/>
    <n v="0"/>
    <n v="0"/>
    <n v="450"/>
    <n v="0"/>
    <n v="35999.999999996384"/>
    <n v="0"/>
    <n v="72000"/>
    <n v="0"/>
    <n v="1080000"/>
    <n v="75060"/>
    <n v="0"/>
    <n v="25019.999999997486"/>
    <n v="0"/>
    <n v="50040"/>
    <n v="0"/>
    <n v="750600"/>
    <x v="0"/>
    <n v="0"/>
    <n v="0"/>
    <n v="0"/>
    <n v="0"/>
  </r>
  <r>
    <n v="7"/>
    <x v="1"/>
    <s v="P0300021"/>
    <s v="HALOWELL O3 30S"/>
    <x v="2"/>
    <n v="75000"/>
    <n v="355.66666666666299"/>
    <n v="529"/>
    <n v="411.66666666666663"/>
    <n v="1137"/>
    <n v="0"/>
    <n v="0"/>
    <n v="0"/>
    <n v="0"/>
    <n v="462"/>
    <n v="30"/>
    <n v="90"/>
    <n v="1137"/>
    <n v="82.858299595141716"/>
    <n v="627"/>
    <n v="462"/>
    <n v="627"/>
    <n v="0"/>
    <n v="44.307692307692307"/>
    <n v="0"/>
    <n v="26674999.999999724"/>
    <n v="39675000"/>
    <n v="30874999.999999996"/>
    <n v="0"/>
    <n v="85275000"/>
    <n v="52125"/>
    <n v="0"/>
    <n v="18539124.99999981"/>
    <n v="27574125"/>
    <n v="21458124.999999996"/>
    <n v="0"/>
    <n v="59266125"/>
    <x v="0"/>
    <n v="-462"/>
    <n v="0"/>
    <n v="0"/>
    <n v="0"/>
  </r>
  <r>
    <n v="8"/>
    <x v="1"/>
    <s v="P0300022"/>
    <s v="ASTRIA FORCE 6MG CATCHCOVER 4S"/>
    <x v="3"/>
    <n v="36000"/>
    <n v="1757.6666666666633"/>
    <n v="2040"/>
    <n v="1975"/>
    <n v="2466"/>
    <n v="0"/>
    <n v="0"/>
    <n v="0"/>
    <n v="0"/>
    <n v="1800"/>
    <n v="144"/>
    <n v="90"/>
    <n v="2466"/>
    <n v="37.458227848101266"/>
    <n v="5499"/>
    <n v="1800"/>
    <n v="5499"/>
    <n v="1584"/>
    <n v="30.531645569620256"/>
    <n v="57024000"/>
    <n v="63275999.999999881"/>
    <n v="73440000"/>
    <n v="71100000"/>
    <n v="0"/>
    <n v="88776000"/>
    <n v="25020"/>
    <n v="39631680"/>
    <n v="43976819.999999918"/>
    <n v="51040800"/>
    <n v="49414500"/>
    <n v="0"/>
    <n v="61699320"/>
    <x v="0"/>
    <n v="-216"/>
    <n v="0"/>
    <n v="0"/>
    <n v="0"/>
  </r>
  <r>
    <n v="9"/>
    <x v="1"/>
    <s v="P0300028"/>
    <s v="LAPLANTE PDRN BIOLEEDLE 100 (C)"/>
    <x v="1"/>
    <n v="425000"/>
    <n v="0.33333333333332998"/>
    <n v="0"/>
    <n v="0.33333333333333331"/>
    <n v="3"/>
    <n v="0"/>
    <n v="0"/>
    <n v="0"/>
    <n v="0"/>
    <n v="0"/>
    <n v="48"/>
    <n v="90"/>
    <n v="3"/>
    <n v="270"/>
    <n v="0"/>
    <n v="0"/>
    <n v="0"/>
    <n v="0"/>
    <n v="270"/>
    <n v="0"/>
    <n v="141666.66666666523"/>
    <n v="0"/>
    <n v="141666.66666666666"/>
    <n v="0"/>
    <n v="1275000"/>
    <n v="295375"/>
    <n v="0"/>
    <n v="98458.333333332339"/>
    <n v="0"/>
    <n v="98458.333333333328"/>
    <n v="0"/>
    <n v="886125"/>
    <x v="0"/>
    <n v="0"/>
    <n v="0"/>
    <n v="0"/>
    <n v="0"/>
  </r>
  <r>
    <n v="10"/>
    <x v="1"/>
    <s v="P0300029"/>
    <s v="LAPLANTE PDRN  BIOLEEDLE 150 (C)"/>
    <x v="1"/>
    <n v="450000"/>
    <n v="1"/>
    <n v="0"/>
    <n v="0"/>
    <n v="0"/>
    <n v="0"/>
    <n v="0"/>
    <n v="0"/>
    <n v="0"/>
    <n v="0"/>
    <n v="48"/>
    <n v="90"/>
    <n v="0"/>
    <n v="0"/>
    <n v="0"/>
    <n v="0"/>
    <n v="0"/>
    <n v="0"/>
    <n v="0"/>
    <n v="0"/>
    <n v="450000"/>
    <n v="0"/>
    <n v="0"/>
    <n v="0"/>
    <n v="0"/>
    <n v="312750"/>
    <n v="0"/>
    <n v="312750"/>
    <n v="0"/>
    <n v="0"/>
    <n v="0"/>
    <n v="0"/>
    <x v="0"/>
    <n v="0"/>
    <n v="0"/>
    <n v="0"/>
    <n v="0"/>
  </r>
  <r>
    <n v="11"/>
    <x v="1"/>
    <s v="P0300030"/>
    <s v="LAPLANTE PDRN  BIOLEEDLE 300 (C)"/>
    <x v="1"/>
    <n v="500000"/>
    <n v="0.33333333333332998"/>
    <n v="6"/>
    <n v="2.3333333333333335"/>
    <n v="0"/>
    <n v="0"/>
    <n v="0"/>
    <n v="0"/>
    <n v="0"/>
    <n v="8"/>
    <n v="48"/>
    <n v="90"/>
    <n v="0"/>
    <n v="0"/>
    <n v="13"/>
    <n v="8"/>
    <n v="13"/>
    <n v="0"/>
    <n v="0"/>
    <n v="0"/>
    <n v="166666.666666665"/>
    <n v="3000000"/>
    <n v="1166666.6666666667"/>
    <n v="0"/>
    <n v="0"/>
    <n v="347500"/>
    <n v="0"/>
    <n v="115833.33333333216"/>
    <n v="2085000"/>
    <n v="810833.33333333337"/>
    <n v="0"/>
    <n v="0"/>
    <x v="0"/>
    <n v="-8"/>
    <n v="0"/>
    <n v="0"/>
    <n v="0"/>
  </r>
  <r>
    <n v="12"/>
    <x v="1"/>
    <s v="P0300031"/>
    <s v="LAPLANTE PDRN EYE CREAM 15GR (C)"/>
    <x v="1"/>
    <n v="425000"/>
    <n v="1.9999999999999898"/>
    <n v="3"/>
    <n v="2.333333333333333"/>
    <n v="0"/>
    <n v="0"/>
    <n v="0"/>
    <n v="0"/>
    <n v="0"/>
    <n v="0"/>
    <n v="56"/>
    <n v="90"/>
    <n v="0"/>
    <n v="0"/>
    <n v="10"/>
    <n v="0"/>
    <n v="10"/>
    <n v="0"/>
    <n v="0"/>
    <n v="0"/>
    <n v="849999.99999999569"/>
    <n v="1275000"/>
    <n v="991666.66666666651"/>
    <n v="0"/>
    <n v="0"/>
    <n v="295375"/>
    <n v="0"/>
    <n v="590749.99999999697"/>
    <n v="886125"/>
    <n v="689208.33333333326"/>
    <n v="0"/>
    <n v="0"/>
    <x v="0"/>
    <n v="0"/>
    <n v="0"/>
    <n v="0"/>
    <n v="0"/>
  </r>
  <r>
    <n v="13"/>
    <x v="1"/>
    <s v="P0300032"/>
    <s v="LAPLANTE PDRN CREAM 50GR (C)"/>
    <x v="1"/>
    <n v="650000"/>
    <n v="0.33333333333332998"/>
    <n v="0"/>
    <n v="0"/>
    <n v="12"/>
    <n v="0"/>
    <n v="0"/>
    <n v="0"/>
    <n v="0"/>
    <n v="0"/>
    <n v="48"/>
    <n v="90"/>
    <n v="12"/>
    <n v="9999"/>
    <n v="0"/>
    <n v="0"/>
    <n v="0"/>
    <n v="0"/>
    <n v="9999"/>
    <n v="0"/>
    <n v="216666.6666666645"/>
    <n v="0"/>
    <n v="0"/>
    <n v="0"/>
    <n v="7800000"/>
    <n v="451750"/>
    <n v="0"/>
    <n v="150583.33333333183"/>
    <n v="0"/>
    <n v="0"/>
    <n v="0"/>
    <n v="5421000"/>
    <x v="0"/>
    <n v="0"/>
    <n v="0"/>
    <n v="0"/>
    <n v="0"/>
  </r>
  <r>
    <n v="14"/>
    <x v="1"/>
    <s v="P0300044"/>
    <s v="ASTRIA ULTRA 12MG 12S (C)"/>
    <x v="2"/>
    <n v="150000"/>
    <n v="3402.3333333333758"/>
    <n v="3995"/>
    <n v="3889.666666666667"/>
    <n v="3994"/>
    <n v="540"/>
    <n v="0"/>
    <n v="793"/>
    <n v="0"/>
    <n v="1350"/>
    <n v="36"/>
    <n v="90"/>
    <n v="5327"/>
    <n v="41.085782843431311"/>
    <n v="10337"/>
    <n v="557"/>
    <n v="10337"/>
    <n v="6280"/>
    <n v="58.709400976947464"/>
    <n v="942000000"/>
    <n v="510350000.00000638"/>
    <n v="599250000"/>
    <n v="583450000"/>
    <n v="0"/>
    <n v="799050000"/>
    <n v="104250"/>
    <n v="654690000"/>
    <n v="354693250.00000441"/>
    <n v="416478750"/>
    <n v="405497750.00000006"/>
    <n v="0"/>
    <n v="555339750"/>
    <x v="0"/>
    <n v="5723"/>
    <n v="0"/>
    <n v="0"/>
    <n v="0"/>
  </r>
  <r>
    <n v="15"/>
    <x v="1"/>
    <s v="P03ASF6S"/>
    <s v="ASTRIA FORCE 6MG SOFT CAP. 2X6S"/>
    <x v="3"/>
    <n v="108000"/>
    <n v="10515.999999999991"/>
    <n v="11274"/>
    <n v="10457.333333333334"/>
    <n v="10689"/>
    <n v="3252"/>
    <n v="6"/>
    <n v="5736"/>
    <n v="163"/>
    <n v="5850"/>
    <n v="36"/>
    <n v="90"/>
    <n v="19677"/>
    <n v="56.449381614178243"/>
    <n v="22806"/>
    <n v="0"/>
    <n v="22806"/>
    <n v="17320"/>
    <n v="74.261762080836405"/>
    <n v="1870560000"/>
    <n v="1135727999.999999"/>
    <n v="1217592000"/>
    <n v="1129392000"/>
    <n v="17604000"/>
    <n v="2125116000"/>
    <n v="75060"/>
    <n v="1300039200"/>
    <n v="789330959.99999928"/>
    <n v="846226440"/>
    <n v="784927440"/>
    <n v="12234780"/>
    <n v="1476955620"/>
    <x v="0"/>
    <n v="17320"/>
    <n v="0"/>
    <n v="0"/>
    <n v="0"/>
  </r>
  <r>
    <n v="16"/>
    <x v="1"/>
    <s v="P03ASTBW"/>
    <s v="ASTRIA 4MG SOFTCAP 2X6BUNDLING (W)"/>
    <x v="3"/>
    <n v="68000"/>
    <n v="0"/>
    <n v="0"/>
    <n v="0"/>
    <n v="49"/>
    <n v="0"/>
    <n v="0"/>
    <n v="0"/>
    <n v="0"/>
    <n v="0"/>
    <n v="36"/>
    <n v="90"/>
    <n v="49"/>
    <n v="9999"/>
    <n v="0"/>
    <n v="0"/>
    <n v="0"/>
    <n v="0"/>
    <n v="9999"/>
    <n v="0"/>
    <n v="0"/>
    <n v="0"/>
    <n v="0"/>
    <n v="0"/>
    <n v="3332000"/>
    <n v="56440"/>
    <n v="0"/>
    <n v="0"/>
    <n v="0"/>
    <n v="0"/>
    <n v="0"/>
    <n v="2765560"/>
    <x v="0"/>
    <n v="0"/>
    <n v="0"/>
    <n v="0"/>
    <n v="0"/>
  </r>
  <r>
    <n v="17"/>
    <x v="1"/>
    <s v="P03ASTC4"/>
    <s v="ASTRIA CATCH COVER 4S"/>
    <x v="3"/>
    <n v="30000"/>
    <n v="22128.000000000331"/>
    <n v="7140"/>
    <n v="18232"/>
    <n v="3652"/>
    <n v="570"/>
    <n v="102"/>
    <n v="360"/>
    <n v="0"/>
    <n v="1920"/>
    <n v="30"/>
    <n v="90"/>
    <n v="4582"/>
    <n v="7.5394910048266777"/>
    <n v="57254"/>
    <n v="1662"/>
    <n v="57254"/>
    <n v="9600"/>
    <n v="11.58731899956121"/>
    <n v="288000000"/>
    <n v="663840000.00000989"/>
    <n v="214200000"/>
    <n v="546960000"/>
    <n v="0"/>
    <n v="137460000"/>
    <n v="20850"/>
    <n v="200160000"/>
    <n v="461368800.00000691"/>
    <n v="148869000"/>
    <n v="380137200"/>
    <n v="0"/>
    <n v="95534700"/>
    <x v="0"/>
    <n v="7938"/>
    <n v="0"/>
    <n v="0"/>
    <n v="0"/>
  </r>
  <r>
    <n v="18"/>
    <x v="1"/>
    <s v="P03ASTSF"/>
    <s v="ASTRIA 4 MG SOFT CAPSULE 2X6S"/>
    <x v="3"/>
    <n v="90000"/>
    <n v="7262.0000000000073"/>
    <n v="9054"/>
    <n v="7985"/>
    <n v="8412"/>
    <n v="1662"/>
    <n v="72"/>
    <n v="2544"/>
    <n v="0"/>
    <n v="372"/>
    <n v="36"/>
    <n v="90"/>
    <n v="12618"/>
    <n v="47.40638697557921"/>
    <n v="20391"/>
    <n v="0"/>
    <n v="20391"/>
    <n v="6300"/>
    <n v="37.059486537257357"/>
    <n v="567000000"/>
    <n v="653580000.0000006"/>
    <n v="814860000"/>
    <n v="718650000"/>
    <n v="0"/>
    <n v="1135620000"/>
    <n v="62550"/>
    <n v="394065000"/>
    <n v="454238100.00000048"/>
    <n v="566327700"/>
    <n v="499461750"/>
    <n v="0"/>
    <n v="789255900"/>
    <x v="0"/>
    <n v="6300"/>
    <n v="0"/>
    <n v="0"/>
    <n v="0"/>
  </r>
  <r>
    <n v="19"/>
    <x v="1"/>
    <s v="P03GRC10"/>
    <s v="GERAC POWDER 10 SACHET 60.2 GR"/>
    <x v="1"/>
    <n v="180000"/>
    <n v="0"/>
    <n v="0"/>
    <n v="0"/>
    <n v="9821"/>
    <n v="0"/>
    <n v="0"/>
    <n v="3936"/>
    <n v="0"/>
    <n v="0"/>
    <n v="24"/>
    <n v="90"/>
    <n v="13757"/>
    <n v="9999"/>
    <n v="0"/>
    <n v="0"/>
    <n v="0"/>
    <n v="0"/>
    <n v="9999"/>
    <n v="0"/>
    <n v="0"/>
    <n v="0"/>
    <n v="0"/>
    <n v="0"/>
    <n v="2476260000"/>
    <n v="147600"/>
    <n v="0"/>
    <n v="0"/>
    <n v="0"/>
    <n v="0"/>
    <n v="0"/>
    <n v="2030533200"/>
    <x v="0"/>
    <n v="0"/>
    <n v="0"/>
    <n v="0"/>
    <n v="0"/>
  </r>
  <r>
    <n v="20"/>
    <x v="1"/>
    <s v="P03HWVC1"/>
    <s v="HALOWELL VIT- C 500 KAPLET 30S"/>
    <x v="3"/>
    <n v="32000"/>
    <n v="2237.3333333333367"/>
    <n v="1488"/>
    <n v="1876.3333333333333"/>
    <n v="1903"/>
    <n v="168"/>
    <n v="12"/>
    <n v="168"/>
    <n v="0"/>
    <n v="1068"/>
    <n v="12"/>
    <n v="90"/>
    <n v="2239"/>
    <n v="35.798543258127559"/>
    <n v="4878"/>
    <n v="912"/>
    <n v="4878"/>
    <n v="666"/>
    <n v="22.655889145496538"/>
    <n v="21312000"/>
    <n v="71594666.666666776"/>
    <n v="47616000"/>
    <n v="60042666.666666664"/>
    <n v="0"/>
    <n v="71648000"/>
    <n v="22240"/>
    <n v="14811840"/>
    <n v="49758293.33333341"/>
    <n v="33093120"/>
    <n v="41729653.333333328"/>
    <n v="0"/>
    <n v="49795360"/>
    <x v="0"/>
    <n v="-246"/>
    <n v="0"/>
    <n v="0"/>
    <n v="0"/>
  </r>
  <r>
    <n v="21"/>
    <x v="1"/>
    <s v="P03LNVBC"/>
    <s v="LANA VISION BILBERRY CAPSULE 2X6S"/>
    <x v="1"/>
    <n v="48000"/>
    <n v="673.33333333333599"/>
    <n v="486"/>
    <n v="651"/>
    <n v="6486"/>
    <n v="0"/>
    <n v="0"/>
    <n v="1520"/>
    <n v="0"/>
    <n v="180"/>
    <n v="36"/>
    <n v="90"/>
    <n v="8006"/>
    <n v="368.94009216589859"/>
    <n v="0"/>
    <n v="0"/>
    <n v="0"/>
    <n v="864"/>
    <n v="386.35944700460828"/>
    <n v="41472000"/>
    <n v="32320000.000000127"/>
    <n v="23328000"/>
    <n v="31248000"/>
    <n v="0"/>
    <n v="384288000"/>
    <n v="33360"/>
    <n v="28823040"/>
    <n v="22462400.000000089"/>
    <n v="16212960"/>
    <n v="21717360"/>
    <n v="0"/>
    <n v="267080160"/>
    <x v="0"/>
    <n v="864"/>
    <n v="0"/>
    <n v="0"/>
    <n v="0"/>
  </r>
  <r>
    <n v="22"/>
    <x v="1"/>
    <s v="P03VE200"/>
    <s v="HALOWELL VIT-E 200IU SOFT CAP 2X6S"/>
    <x v="3"/>
    <n v="25000"/>
    <n v="548.6666666666697"/>
    <n v="378"/>
    <n v="421.66666666666669"/>
    <n v="921"/>
    <n v="18"/>
    <n v="0"/>
    <n v="184"/>
    <n v="0"/>
    <n v="84"/>
    <n v="36"/>
    <n v="90"/>
    <n v="1123"/>
    <n v="79.897233201581017"/>
    <n v="520"/>
    <n v="0"/>
    <n v="520"/>
    <n v="0"/>
    <n v="53.003952569169961"/>
    <n v="0"/>
    <n v="13716666.666666742"/>
    <n v="9450000"/>
    <n v="10541666.666666668"/>
    <n v="0"/>
    <n v="28075000"/>
    <n v="17375"/>
    <n v="0"/>
    <n v="9533083.3333333861"/>
    <n v="6567750"/>
    <n v="7326458.333333334"/>
    <n v="0"/>
    <n v="19512125"/>
    <x v="0"/>
    <n v="0"/>
    <n v="0"/>
    <n v="0"/>
    <n v="0"/>
  </r>
  <r>
    <n v="23"/>
    <x v="2"/>
    <s v="P1200001"/>
    <s v="DR006 DRYING RACK PORTABLE"/>
    <x v="3"/>
    <n v="124324"/>
    <n v="351.99999999999858"/>
    <n v="425.9731148120477"/>
    <n v="368.65770493734914"/>
    <n v="530"/>
    <n v="3"/>
    <n v="60"/>
    <n v="0"/>
    <n v="306"/>
    <n v="300"/>
    <n v="6"/>
    <n v="75"/>
    <n v="533"/>
    <n v="43.373567908250806"/>
    <n v="508.6173771554204"/>
    <n v="54"/>
    <n v="508.6173771554204"/>
    <n v="510"/>
    <n v="75.112512731408756"/>
    <n v="63405240"/>
    <n v="43762047.999999821"/>
    <n v="52958681.525893018"/>
    <n v="45833000.508630991"/>
    <n v="38043144"/>
    <n v="66264692"/>
    <n v="111892"/>
    <n v="57064920"/>
    <n v="39385983.999999844"/>
    <n v="47662983.762549639"/>
    <n v="41249847.920849867"/>
    <n v="34238952"/>
    <n v="59638436"/>
    <x v="1"/>
    <n v="456"/>
    <n v="0"/>
    <n v="0"/>
    <n v="0"/>
  </r>
  <r>
    <n v="24"/>
    <x v="2"/>
    <s v="P1200002"/>
    <s v="BS347 INDICATOR SPOON ROUND"/>
    <x v="3"/>
    <n v="16757"/>
    <n v="418.6666666666668"/>
    <n v="596.97419819238041"/>
    <n v="430.99139939746021"/>
    <n v="1189"/>
    <n v="36"/>
    <n v="48"/>
    <n v="1"/>
    <n v="120"/>
    <n v="120"/>
    <n v="12"/>
    <n v="75"/>
    <n v="1226"/>
    <n v="85.338129836046875"/>
    <n v="328.45269668603078"/>
    <n v="47"/>
    <n v="328.45269668603078"/>
    <n v="324"/>
    <n v="74.690061331229174"/>
    <n v="5429268"/>
    <n v="7015597.3333333358"/>
    <n v="10003496.639109718"/>
    <n v="7222122.8797032405"/>
    <n v="2010840"/>
    <n v="20544082"/>
    <n v="15081"/>
    <n v="4886244"/>
    <n v="6313912.0000000019"/>
    <n v="9002967.8829392884"/>
    <n v="6499781.2943130974"/>
    <n v="1809720"/>
    <n v="18489306"/>
    <x v="1"/>
    <n v="277"/>
    <n v="0"/>
    <n v="0"/>
    <n v="0"/>
  </r>
  <r>
    <n v="25"/>
    <x v="2"/>
    <s v="P1200004"/>
    <s v="DR007 DRYING RACK STICKS"/>
    <x v="1"/>
    <n v="31622"/>
    <n v="3.6666666666666701"/>
    <n v="48"/>
    <n v="19.666666666666664"/>
    <n v="51"/>
    <n v="0"/>
    <n v="12"/>
    <n v="0"/>
    <n v="38"/>
    <n v="12"/>
    <n v="12"/>
    <n v="75"/>
    <n v="51"/>
    <n v="77.79661016949153"/>
    <n v="8.1666666666666572"/>
    <n v="0"/>
    <n v="8.1666666666666572"/>
    <n v="12"/>
    <n v="80.847457627118658"/>
    <n v="379464"/>
    <n v="115947.33333333344"/>
    <n v="1517856"/>
    <n v="621899.33333333326"/>
    <n v="1201636"/>
    <n v="1612722"/>
    <n v="28460"/>
    <n v="341520"/>
    <n v="104353.33333333343"/>
    <n v="1366080"/>
    <n v="559713.33333333326"/>
    <n v="1081480"/>
    <n v="1451460"/>
    <x v="1"/>
    <n v="12"/>
    <n v="0"/>
    <n v="0"/>
    <n v="0"/>
  </r>
  <r>
    <n v="26"/>
    <x v="2"/>
    <s v="P1200005"/>
    <s v="DWN0S DOT WIDE NECK S (SMALL)"/>
    <x v="3"/>
    <n v="21081"/>
    <n v="1459.3333333333248"/>
    <n v="1746.9892032968603"/>
    <n v="1494.9964010989534"/>
    <n v="2543"/>
    <n v="384"/>
    <n v="192"/>
    <n v="239"/>
    <n v="336"/>
    <n v="288"/>
    <n v="12"/>
    <n v="75"/>
    <n v="3166"/>
    <n v="63.531925515125906"/>
    <n v="1982.4802060442435"/>
    <n v="0"/>
    <n v="1000"/>
    <n v="996"/>
    <n v="55.204362927179744"/>
    <n v="20996676"/>
    <n v="30764205.999999821"/>
    <n v="36828279.394701108"/>
    <n v="31516019.131567035"/>
    <n v="7083216"/>
    <n v="66742446"/>
    <n v="18973"/>
    <n v="18897108"/>
    <n v="27687931.333333172"/>
    <n v="33145626.154151332"/>
    <n v="28364566.718050443"/>
    <n v="6374928"/>
    <n v="60068518"/>
    <x v="1"/>
    <n v="996"/>
    <n v="0"/>
    <n v="0"/>
    <n v="0"/>
  </r>
  <r>
    <n v="27"/>
    <x v="2"/>
    <s v="P1200006"/>
    <s v="DOT0S DOT REGULAR S (SMALL)"/>
    <x v="1"/>
    <n v="13514"/>
    <n v="7"/>
    <n v="0"/>
    <n v="1.6666666666666665"/>
    <n v="19"/>
    <n v="0"/>
    <n v="0"/>
    <n v="0"/>
    <n v="0"/>
    <n v="0"/>
    <n v="12"/>
    <n v="75"/>
    <n v="19"/>
    <n v="342"/>
    <n v="0"/>
    <n v="0"/>
    <n v="0"/>
    <n v="0"/>
    <n v="342"/>
    <n v="0"/>
    <n v="94598"/>
    <n v="0"/>
    <n v="22523.333333333332"/>
    <n v="0"/>
    <n v="256766"/>
    <n v="12163"/>
    <n v="0"/>
    <n v="85141"/>
    <n v="0"/>
    <n v="20271.666666666664"/>
    <n v="0"/>
    <n v="231097"/>
    <x v="2"/>
    <n v="0"/>
    <n v="0"/>
    <n v="0"/>
    <n v="0"/>
  </r>
  <r>
    <n v="28"/>
    <x v="2"/>
    <s v="P1200007"/>
    <s v="FSD01 DUCK FEEDING SET"/>
    <x v="3"/>
    <n v="69459"/>
    <n v="122.6666666666664"/>
    <n v="0"/>
    <n v="36.333333333333343"/>
    <n v="75"/>
    <n v="0"/>
    <n v="0"/>
    <n v="0"/>
    <n v="0"/>
    <n v="54"/>
    <n v="18"/>
    <n v="75"/>
    <n v="75"/>
    <n v="61.926605504587137"/>
    <n v="15.833333333333357"/>
    <n v="54"/>
    <n v="0"/>
    <n v="0"/>
    <n v="61.926605504587137"/>
    <n v="0"/>
    <n v="8520303.9999999814"/>
    <n v="0"/>
    <n v="2523677.0000000005"/>
    <n v="0"/>
    <n v="5209425"/>
    <n v="62513"/>
    <n v="0"/>
    <n v="7668261.3333333172"/>
    <n v="0"/>
    <n v="2271305.6666666674"/>
    <n v="0"/>
    <n v="4688475"/>
    <x v="2"/>
    <n v="-54"/>
    <n v="0"/>
    <n v="0"/>
    <n v="0"/>
  </r>
  <r>
    <n v="29"/>
    <x v="2"/>
    <s v="P1200008"/>
    <s v="FSD02 DUCK PLATE"/>
    <x v="1"/>
    <n v="25676"/>
    <n v="3.6666666666666701"/>
    <n v="0"/>
    <n v="3"/>
    <n v="0"/>
    <n v="0"/>
    <n v="0"/>
    <n v="1"/>
    <n v="0"/>
    <n v="0"/>
    <n v="24"/>
    <n v="75"/>
    <n v="1"/>
    <n v="10"/>
    <n v="6.5"/>
    <n v="0"/>
    <n v="0"/>
    <n v="0"/>
    <n v="10"/>
    <n v="0"/>
    <n v="94145.333333333416"/>
    <n v="0"/>
    <n v="77028"/>
    <n v="0"/>
    <n v="25676"/>
    <n v="23109"/>
    <n v="0"/>
    <n v="84733.000000000073"/>
    <n v="0"/>
    <n v="69327"/>
    <n v="0"/>
    <n v="23109"/>
    <x v="2"/>
    <n v="0"/>
    <n v="0"/>
    <n v="0"/>
    <n v="0"/>
  </r>
  <r>
    <n v="30"/>
    <x v="2"/>
    <s v="P1200009"/>
    <s v="FSD03 DUCK BOWL"/>
    <x v="1"/>
    <n v="22162"/>
    <n v="6.3333333333333695"/>
    <n v="0"/>
    <n v="-4.333333333333333"/>
    <n v="102"/>
    <n v="0"/>
    <n v="0"/>
    <n v="0"/>
    <n v="24"/>
    <n v="0"/>
    <n v="24"/>
    <n v="75"/>
    <n v="102"/>
    <n v="9999"/>
    <n v="0"/>
    <n v="0"/>
    <n v="0"/>
    <n v="0"/>
    <n v="9999"/>
    <n v="0"/>
    <n v="140359.33333333413"/>
    <n v="0"/>
    <n v="-96035.333333333328"/>
    <n v="531888"/>
    <n v="2260524"/>
    <n v="19946"/>
    <n v="0"/>
    <n v="126324.66666666738"/>
    <n v="0"/>
    <n v="-86432.666666666657"/>
    <n v="478704"/>
    <n v="2034492"/>
    <x v="2"/>
    <n v="0"/>
    <n v="0"/>
    <n v="0"/>
    <n v="0"/>
  </r>
  <r>
    <n v="31"/>
    <x v="2"/>
    <s v="P1200010"/>
    <s v="FSD04 DUCK CUP"/>
    <x v="2"/>
    <n v="15946"/>
    <n v="2"/>
    <n v="0"/>
    <n v="0.33333333333333331"/>
    <n v="0"/>
    <n v="0"/>
    <n v="0"/>
    <n v="0"/>
    <n v="0"/>
    <n v="0"/>
    <n v="24"/>
    <n v="75"/>
    <n v="0"/>
    <n v="0"/>
    <n v="0.83333333333333326"/>
    <n v="0"/>
    <n v="0"/>
    <n v="0"/>
    <n v="0"/>
    <n v="0"/>
    <n v="31892"/>
    <n v="0"/>
    <n v="5315.333333333333"/>
    <n v="0"/>
    <n v="0"/>
    <n v="14352"/>
    <n v="0"/>
    <n v="28704"/>
    <n v="0"/>
    <n v="4784"/>
    <n v="0"/>
    <n v="0"/>
    <x v="2"/>
    <n v="0"/>
    <n v="0"/>
    <n v="0"/>
    <n v="0"/>
  </r>
  <r>
    <n v="32"/>
    <x v="2"/>
    <s v="P1200011"/>
    <s v="BT009 RUBBER MAT LARGE"/>
    <x v="2"/>
    <n v="59459"/>
    <n v="19.333333333333769"/>
    <n v="46.271186517483301"/>
    <n v="29.757062172494436"/>
    <n v="142"/>
    <n v="0"/>
    <n v="0"/>
    <n v="0"/>
    <n v="0"/>
    <n v="20"/>
    <n v="20"/>
    <n v="75"/>
    <n v="142"/>
    <n v="143.15929359241912"/>
    <n v="0"/>
    <n v="20"/>
    <n v="0"/>
    <n v="0"/>
    <n v="96.510347285898149"/>
    <n v="0"/>
    <n v="1149540.6666666926"/>
    <n v="2751238.4791430398"/>
    <n v="1769325.1597143468"/>
    <n v="0"/>
    <n v="8443178"/>
    <n v="53513"/>
    <n v="0"/>
    <n v="1034584.66666669"/>
    <n v="2476110.0041100839"/>
    <n v="1592389.6680366946"/>
    <n v="0"/>
    <n v="7598846"/>
    <x v="1"/>
    <n v="-20"/>
    <n v="0"/>
    <n v="0"/>
    <n v="0"/>
  </r>
  <r>
    <n v="33"/>
    <x v="2"/>
    <s v="P1200012"/>
    <s v="MC004 MULTI LAYER CONTAINER"/>
    <x v="3"/>
    <n v="20541"/>
    <n v="764.99999999999829"/>
    <n v="880.44154474927961"/>
    <n v="742.14718158309313"/>
    <n v="1379"/>
    <n v="192"/>
    <n v="168"/>
    <n v="146"/>
    <n v="216"/>
    <n v="240"/>
    <n v="24"/>
    <n v="75"/>
    <n v="1717"/>
    <n v="69.406717802421213"/>
    <n v="802.80949870701261"/>
    <n v="46"/>
    <n v="802.80949870701261"/>
    <n v="792"/>
    <n v="74.563044946800673"/>
    <n v="16268472"/>
    <n v="15713864.999999965"/>
    <n v="18085149.770694952"/>
    <n v="15244445.256898316"/>
    <n v="4436856"/>
    <n v="35268897"/>
    <n v="18486"/>
    <n v="14640912"/>
    <n v="14141789.999999968"/>
    <n v="16275842.396235183"/>
    <n v="13719332.79874506"/>
    <n v="3992976"/>
    <n v="31740462"/>
    <x v="1"/>
    <n v="746"/>
    <n v="0"/>
    <n v="0"/>
    <n v="0"/>
  </r>
  <r>
    <n v="34"/>
    <x v="2"/>
    <s v="P1200013"/>
    <s v="BT010 BATH CUP"/>
    <x v="3"/>
    <n v="14595"/>
    <n v="266.33333333333428"/>
    <n v="347.84740649672847"/>
    <n v="240.94913549890953"/>
    <n v="877"/>
    <n v="0"/>
    <n v="24"/>
    <n v="50"/>
    <n v="48"/>
    <n v="96"/>
    <n v="24"/>
    <n v="75"/>
    <n v="927"/>
    <n v="115.41855065143349"/>
    <n v="0"/>
    <n v="22"/>
    <n v="22"/>
    <n v="24"/>
    <n v="81.073450480118254"/>
    <n v="350280"/>
    <n v="3887135.000000014"/>
    <n v="5076832.8978197519"/>
    <n v="3516652.6326065846"/>
    <n v="700560"/>
    <n v="13529565"/>
    <n v="13135"/>
    <n v="315240"/>
    <n v="3498288.3333333456"/>
    <n v="4568975.6843345286"/>
    <n v="3164866.8947781767"/>
    <n v="630480"/>
    <n v="12176145"/>
    <x v="1"/>
    <n v="2"/>
    <n v="0"/>
    <n v="0"/>
    <n v="0"/>
  </r>
  <r>
    <n v="35"/>
    <x v="2"/>
    <s v="P1200014"/>
    <s v="BT011 STEP STOOL"/>
    <x v="1"/>
    <n v="63243"/>
    <n v="11.99999999999997"/>
    <n v="28.5322832071924"/>
    <n v="19.177427735730802"/>
    <n v="310"/>
    <n v="0"/>
    <n v="0"/>
    <n v="0"/>
    <n v="0"/>
    <n v="12"/>
    <n v="12"/>
    <n v="75"/>
    <n v="310"/>
    <n v="484.94512028182601"/>
    <n v="0"/>
    <n v="12"/>
    <n v="0"/>
    <n v="0"/>
    <n v="440.31095411464202"/>
    <n v="0"/>
    <n v="758915.99999999814"/>
    <n v="1804467.186872469"/>
    <n v="1212838.0622908231"/>
    <n v="0"/>
    <n v="19605330"/>
    <n v="56919"/>
    <n v="0"/>
    <n v="683027.99999999825"/>
    <n v="1624029.0278701843"/>
    <n v="1091560.0092900614"/>
    <n v="0"/>
    <n v="17644890"/>
    <x v="1"/>
    <n v="-12"/>
    <n v="0"/>
    <n v="0"/>
    <n v="0"/>
  </r>
  <r>
    <n v="36"/>
    <x v="2"/>
    <s v="P1200015"/>
    <s v="LB013 FORMULA MILK MACHINE"/>
    <x v="2"/>
    <n v="389189"/>
    <n v="3.3333333333332602"/>
    <n v="3.2933585442481998"/>
    <n v="3.4311195147493998"/>
    <n v="63"/>
    <n v="0"/>
    <n v="0"/>
    <n v="0"/>
    <n v="0"/>
    <n v="8"/>
    <n v="8"/>
    <n v="75"/>
    <n v="63"/>
    <n v="550.84061976723092"/>
    <n v="0"/>
    <n v="8"/>
    <n v="0"/>
    <n v="0"/>
    <n v="522.04513307470097"/>
    <n v="0"/>
    <n v="1297296.6666666381"/>
    <n v="1281738.9184774125"/>
    <n v="1335353.9728258043"/>
    <n v="0"/>
    <n v="24518907"/>
    <n v="350270"/>
    <n v="0"/>
    <n v="1167566.6666666411"/>
    <n v="1153564.6972938171"/>
    <n v="1201818.2324312723"/>
    <n v="0"/>
    <n v="22067010"/>
    <x v="1"/>
    <n v="-8"/>
    <n v="0"/>
    <n v="0"/>
    <n v="0"/>
  </r>
  <r>
    <n v="37"/>
    <x v="2"/>
    <s v="P1200020"/>
    <s v="DR08Y DRYING RACK YELLOW"/>
    <x v="1"/>
    <n v="18378"/>
    <n v="2.3333333333333699"/>
    <n v="0"/>
    <n v="-3.3333333333333335"/>
    <n v="17"/>
    <n v="0"/>
    <n v="0"/>
    <n v="0"/>
    <n v="0"/>
    <n v="0"/>
    <n v="12"/>
    <n v="75"/>
    <n v="17"/>
    <n v="9999"/>
    <n v="0"/>
    <n v="0"/>
    <n v="0"/>
    <n v="0"/>
    <n v="9999"/>
    <n v="0"/>
    <n v="42882.000000000669"/>
    <n v="0"/>
    <n v="-61260"/>
    <n v="0"/>
    <n v="312426"/>
    <n v="16540"/>
    <n v="0"/>
    <n v="38593.33333333394"/>
    <n v="0"/>
    <n v="-55133.333333333336"/>
    <n v="0"/>
    <n v="281180"/>
    <x v="2"/>
    <n v="0"/>
    <n v="0"/>
    <n v="0"/>
    <n v="0"/>
  </r>
  <r>
    <n v="38"/>
    <x v="2"/>
    <s v="P1200021"/>
    <s v="DR08B DRYING RACK BLUE"/>
    <x v="3"/>
    <n v="18378"/>
    <n v="345.33333333333451"/>
    <n v="442.36969626899611"/>
    <n v="345.45656542299878"/>
    <n v="470"/>
    <n v="3"/>
    <n v="72"/>
    <n v="0"/>
    <n v="432"/>
    <n v="384"/>
    <n v="12"/>
    <n v="75"/>
    <n v="473"/>
    <n v="41.076075606277364"/>
    <n v="401.01110982649288"/>
    <n v="24"/>
    <n v="401.01110982649288"/>
    <n v="396"/>
    <n v="74.564827217538294"/>
    <n v="7277688"/>
    <n v="6346536.0000000214"/>
    <n v="8129870.2780316109"/>
    <n v="6348800.7593438718"/>
    <n v="7939296"/>
    <n v="8692794"/>
    <n v="16540"/>
    <n v="6549840"/>
    <n v="5711813.3333333526"/>
    <n v="7316794.7762891958"/>
    <n v="5713851.5920963995"/>
    <n v="7145280"/>
    <n v="7823420"/>
    <x v="1"/>
    <n v="372"/>
    <n v="0"/>
    <n v="0"/>
    <n v="0"/>
  </r>
  <r>
    <n v="39"/>
    <x v="2"/>
    <s v="P1200022"/>
    <s v="FC002 FOOD CONTAINER 60ML"/>
    <x v="3"/>
    <n v="23514"/>
    <n v="35"/>
    <n v="0"/>
    <n v="7.666666666666667"/>
    <n v="10"/>
    <n v="0"/>
    <n v="0"/>
    <n v="0"/>
    <n v="0"/>
    <n v="0"/>
    <n v="24"/>
    <n v="75"/>
    <n v="10"/>
    <n v="39.130434782608695"/>
    <n v="9.1666666666666679"/>
    <n v="0"/>
    <n v="0"/>
    <n v="0"/>
    <n v="39.130434782608695"/>
    <n v="0"/>
    <n v="822990"/>
    <n v="0"/>
    <n v="180274"/>
    <n v="0"/>
    <n v="235140"/>
    <n v="21163"/>
    <n v="0"/>
    <n v="740705"/>
    <n v="0"/>
    <n v="162249.66666666669"/>
    <n v="0"/>
    <n v="211630"/>
    <x v="2"/>
    <n v="0"/>
    <n v="0"/>
    <n v="0"/>
    <n v="0"/>
  </r>
  <r>
    <n v="40"/>
    <x v="2"/>
    <s v="P1200023"/>
    <s v="FC003 FOOD CONTAINER 150ML"/>
    <x v="3"/>
    <n v="27297"/>
    <n v="786.33333333333087"/>
    <n v="948.43460044315418"/>
    <n v="819.81153348105147"/>
    <n v="1560"/>
    <n v="216"/>
    <n v="120"/>
    <n v="180"/>
    <n v="216"/>
    <n v="120"/>
    <n v="24"/>
    <n v="75"/>
    <n v="1956"/>
    <n v="71.577426766412145"/>
    <n v="825.96343414578268"/>
    <n v="0"/>
    <n v="825.96343414578268"/>
    <n v="816"/>
    <n v="74.635400318041036"/>
    <n v="22274352"/>
    <n v="21464540.999999933"/>
    <n v="25889419.288296781"/>
    <n v="22378395.429432262"/>
    <n v="5896152"/>
    <n v="53392932"/>
    <n v="24567"/>
    <n v="20046672"/>
    <n v="19317850.99999994"/>
    <n v="23300192.829086971"/>
    <n v="20140309.94302899"/>
    <n v="5306472"/>
    <n v="48053052"/>
    <x v="1"/>
    <n v="816"/>
    <n v="0"/>
    <n v="0"/>
    <n v="0"/>
  </r>
  <r>
    <n v="41"/>
    <x v="2"/>
    <s v="P1200024"/>
    <s v="UF006 TOILET SEAT"/>
    <x v="2"/>
    <n v="43243"/>
    <n v="3.3333333333333002"/>
    <n v="0"/>
    <n v="3.333333333333333"/>
    <n v="10"/>
    <n v="0"/>
    <n v="0"/>
    <n v="0"/>
    <n v="0"/>
    <n v="0"/>
    <n v="20"/>
    <n v="75"/>
    <n v="10"/>
    <n v="90.000000000000014"/>
    <n v="0"/>
    <n v="0"/>
    <n v="0"/>
    <n v="0"/>
    <n v="90.000000000000014"/>
    <n v="0"/>
    <n v="144143.33333333189"/>
    <n v="0"/>
    <n v="144143.33333333331"/>
    <n v="0"/>
    <n v="432430"/>
    <n v="38919"/>
    <n v="0"/>
    <n v="129729.9999999987"/>
    <n v="0"/>
    <n v="129729.99999999999"/>
    <n v="0"/>
    <n v="389190"/>
    <x v="2"/>
    <n v="0"/>
    <n v="0"/>
    <n v="0"/>
    <n v="0"/>
  </r>
  <r>
    <n v="42"/>
    <x v="2"/>
    <s v="P1200027"/>
    <s v="SG001 SPOON &amp; FORK"/>
    <x v="2"/>
    <n v="16216"/>
    <n v="75.3333333333334"/>
    <n v="146.91889363605009"/>
    <n v="90.639631212016695"/>
    <n v="412"/>
    <n v="24"/>
    <n v="0"/>
    <n v="0"/>
    <n v="0"/>
    <n v="24"/>
    <n v="24"/>
    <n v="75"/>
    <n v="436"/>
    <n v="144.30773630802128"/>
    <n v="0"/>
    <n v="24"/>
    <n v="0"/>
    <n v="0"/>
    <n v="95.680367130275073"/>
    <n v="0"/>
    <n v="1221605.3333333344"/>
    <n v="2382436.7792021884"/>
    <n v="1469812.2597340627"/>
    <n v="0"/>
    <n v="7070176"/>
    <n v="14594"/>
    <n v="0"/>
    <n v="1099414.6666666677"/>
    <n v="2144134.333724515"/>
    <n v="1322794.7779081718"/>
    <n v="0"/>
    <n v="6362984"/>
    <x v="1"/>
    <n v="-24"/>
    <n v="0"/>
    <n v="0"/>
    <n v="0"/>
  </r>
  <r>
    <n v="43"/>
    <x v="2"/>
    <s v="P1200028"/>
    <s v="WN06B BOTTLE HANDLE BLUE"/>
    <x v="3"/>
    <n v="35405"/>
    <n v="3.0000000000000298"/>
    <n v="0"/>
    <n v="2.3333333333333335"/>
    <n v="2"/>
    <n v="0"/>
    <n v="0"/>
    <n v="12"/>
    <n v="0"/>
    <n v="0"/>
    <n v="12"/>
    <n v="75"/>
    <n v="14"/>
    <n v="180"/>
    <n v="0"/>
    <n v="0"/>
    <n v="0"/>
    <n v="0"/>
    <n v="180"/>
    <n v="0"/>
    <n v="106215.00000000105"/>
    <n v="0"/>
    <n v="82611.666666666672"/>
    <n v="0"/>
    <n v="495670"/>
    <n v="31865"/>
    <n v="0"/>
    <n v="95595.000000000946"/>
    <n v="0"/>
    <n v="74351.666666666672"/>
    <n v="0"/>
    <n v="446110"/>
    <x v="2"/>
    <n v="0"/>
    <n v="0"/>
    <n v="0"/>
    <n v="0"/>
  </r>
  <r>
    <n v="44"/>
    <x v="2"/>
    <s v="P1200029"/>
    <s v="WN06G BOTTLE HANDLE GREEN"/>
    <x v="3"/>
    <n v="35405"/>
    <n v="81.333333333333357"/>
    <n v="0"/>
    <n v="55.333333333333329"/>
    <n v="203"/>
    <n v="0"/>
    <n v="0"/>
    <n v="0"/>
    <n v="84"/>
    <n v="36"/>
    <n v="12"/>
    <n v="75"/>
    <n v="203"/>
    <n v="110.06024096385543"/>
    <n v="0"/>
    <n v="0"/>
    <n v="0"/>
    <n v="0"/>
    <n v="155.60240963855424"/>
    <n v="0"/>
    <n v="2879606.6666666674"/>
    <n v="0"/>
    <n v="1959076.6666666665"/>
    <n v="2974020"/>
    <n v="7187215"/>
    <n v="31865"/>
    <n v="0"/>
    <n v="2591686.6666666674"/>
    <n v="0"/>
    <n v="1763196.6666666665"/>
    <n v="2676660"/>
    <n v="6468595"/>
    <x v="2"/>
    <n v="0"/>
    <n v="0"/>
    <n v="0"/>
    <n v="0"/>
  </r>
  <r>
    <n v="45"/>
    <x v="2"/>
    <s v="P1200030"/>
    <s v="WN06R BOTTLE HANDLE RED"/>
    <x v="3"/>
    <n v="35405"/>
    <n v="21.000000000000057"/>
    <n v="0"/>
    <n v="16.333333333333332"/>
    <n v="36"/>
    <n v="0"/>
    <n v="0"/>
    <n v="0"/>
    <n v="0"/>
    <n v="12"/>
    <n v="12"/>
    <n v="75"/>
    <n v="36"/>
    <n v="66.122448979591837"/>
    <n v="4.8333333333333286"/>
    <n v="12"/>
    <n v="0"/>
    <n v="0"/>
    <n v="66.122448979591837"/>
    <n v="0"/>
    <n v="743505.00000000198"/>
    <n v="0"/>
    <n v="578281.66666666663"/>
    <n v="0"/>
    <n v="1274580"/>
    <n v="31865"/>
    <n v="0"/>
    <n v="669165.00000000186"/>
    <n v="0"/>
    <n v="520461.66666666663"/>
    <n v="0"/>
    <n v="1147140"/>
    <x v="2"/>
    <n v="-12"/>
    <n v="0"/>
    <n v="0"/>
    <n v="0"/>
  </r>
  <r>
    <n v="46"/>
    <x v="2"/>
    <s v="P1200032"/>
    <s v="CW001 COOKWARE NON ELECTRIC"/>
    <x v="3"/>
    <n v="322432"/>
    <n v="721.33333333333235"/>
    <n v="0"/>
    <n v="472.66666666666663"/>
    <n v="926"/>
    <n v="36"/>
    <n v="0"/>
    <n v="12"/>
    <n v="408"/>
    <n v="60"/>
    <n v="12"/>
    <n v="75"/>
    <n v="974"/>
    <n v="61.819464033850494"/>
    <n v="0"/>
    <n v="0"/>
    <n v="0"/>
    <n v="0"/>
    <n v="87.715091678420308"/>
    <n v="0"/>
    <n v="232580949.33333302"/>
    <n v="0"/>
    <n v="152402858.66666666"/>
    <n v="131552256"/>
    <n v="314048768"/>
    <n v="290189"/>
    <n v="0"/>
    <n v="209322998.66666639"/>
    <n v="0"/>
    <n v="137162667.33333331"/>
    <n v="118397112"/>
    <n v="282644086"/>
    <x v="2"/>
    <n v="0"/>
    <n v="0"/>
    <n v="0"/>
    <n v="0"/>
  </r>
  <r>
    <n v="47"/>
    <x v="2"/>
    <s v="P1200033"/>
    <s v="RKM104 MANICURE SET"/>
    <x v="2"/>
    <n v="20595"/>
    <n v="2.3333333333333002"/>
    <n v="0"/>
    <n v="1.3333333333333335"/>
    <n v="13"/>
    <n v="0"/>
    <n v="0"/>
    <n v="0"/>
    <n v="0"/>
    <n v="0"/>
    <n v="12"/>
    <n v="75"/>
    <n v="13"/>
    <n v="292.49999999999994"/>
    <n v="0"/>
    <n v="0"/>
    <n v="0"/>
    <n v="0"/>
    <n v="292.49999999999994"/>
    <n v="0"/>
    <n v="48054.999999999316"/>
    <n v="0"/>
    <n v="27460.000000000004"/>
    <n v="0"/>
    <n v="267735"/>
    <n v="18536"/>
    <n v="0"/>
    <n v="43250.666666666053"/>
    <n v="0"/>
    <n v="24714.666666666668"/>
    <n v="0"/>
    <n v="240968"/>
    <x v="2"/>
    <n v="0"/>
    <n v="0"/>
    <n v="0"/>
    <n v="0"/>
  </r>
  <r>
    <n v="48"/>
    <x v="2"/>
    <s v="P1200034"/>
    <s v="JP033 FRUIT FREEDER"/>
    <x v="3"/>
    <n v="18378"/>
    <n v="2107.6666666666788"/>
    <n v="2793.2762187677836"/>
    <n v="2214.0920729225945"/>
    <n v="663"/>
    <n v="42"/>
    <n v="576"/>
    <n v="0"/>
    <n v="4187"/>
    <n v="3672"/>
    <n v="12"/>
    <n v="75"/>
    <n v="705"/>
    <n v="9.5524482737892953"/>
    <n v="3436.5064010742699"/>
    <n v="61"/>
    <n v="2000"/>
    <n v="2004"/>
    <n v="55.590151350164504"/>
    <n v="36829512"/>
    <n v="38734698.000000224"/>
    <n v="51334830.348514326"/>
    <n v="40690584.116171442"/>
    <n v="76948686"/>
    <n v="12956490"/>
    <n v="16540"/>
    <n v="33146160"/>
    <n v="34860806.666666865"/>
    <n v="46200788.65841914"/>
    <n v="36621082.886139713"/>
    <n v="69252980"/>
    <n v="11660700"/>
    <x v="1"/>
    <n v="1943"/>
    <n v="0"/>
    <n v="0"/>
    <n v="0"/>
  </r>
  <r>
    <n v="49"/>
    <x v="2"/>
    <s v="P1200037"/>
    <s v="JS006 BOTTLE 60ML"/>
    <x v="3"/>
    <n v="12973"/>
    <n v="714.00000000000045"/>
    <n v="0"/>
    <n v="365.66666666666674"/>
    <n v="422"/>
    <n v="0"/>
    <n v="0"/>
    <n v="0"/>
    <n v="0"/>
    <n v="240"/>
    <n v="12"/>
    <n v="75"/>
    <n v="422"/>
    <n v="34.621695533272558"/>
    <n v="492.16666666666686"/>
    <n v="240"/>
    <n v="0"/>
    <n v="0"/>
    <n v="34.621695533272558"/>
    <n v="0"/>
    <n v="9262722.0000000056"/>
    <n v="0"/>
    <n v="4743793.6666666679"/>
    <n v="0"/>
    <n v="5474606"/>
    <n v="11676"/>
    <n v="0"/>
    <n v="8336664.0000000056"/>
    <n v="0"/>
    <n v="4269524.0000000009"/>
    <n v="0"/>
    <n v="4927272"/>
    <x v="2"/>
    <n v="-240"/>
    <n v="0"/>
    <n v="0"/>
    <n v="0"/>
  </r>
  <r>
    <n v="50"/>
    <x v="2"/>
    <s v="P1200040"/>
    <s v="BPC01 BREAST MILK COLLECTOR"/>
    <x v="3"/>
    <n v="36486"/>
    <n v="13.66666666666657"/>
    <n v="0"/>
    <n v="5.6666666666666661"/>
    <n v="13"/>
    <n v="0"/>
    <n v="0"/>
    <n v="0"/>
    <n v="0"/>
    <n v="0"/>
    <n v="24"/>
    <n v="75"/>
    <n v="13"/>
    <n v="68.82352941176471"/>
    <n v="1.1666666666666643"/>
    <n v="0"/>
    <n v="0"/>
    <n v="0"/>
    <n v="68.82352941176471"/>
    <n v="0"/>
    <n v="498641.99999999651"/>
    <n v="0"/>
    <n v="206753.99999999997"/>
    <n v="0"/>
    <n v="474318"/>
    <n v="32837"/>
    <n v="0"/>
    <n v="448772.33333333017"/>
    <n v="0"/>
    <n v="186076.33333333331"/>
    <n v="0"/>
    <n v="426881"/>
    <x v="2"/>
    <n v="0"/>
    <n v="0"/>
    <n v="0"/>
    <n v="0"/>
  </r>
  <r>
    <n v="51"/>
    <x v="2"/>
    <s v="P1200041"/>
    <s v="FC04B CONTAINER BREASTPUMP"/>
    <x v="1"/>
    <n v="29730"/>
    <n v="12.666666666666609"/>
    <n v="16.630217149080899"/>
    <n v="11.543405716360299"/>
    <n v="580"/>
    <n v="0"/>
    <n v="0"/>
    <n v="0"/>
    <n v="0"/>
    <n v="0"/>
    <n v="24"/>
    <n v="75"/>
    <n v="580"/>
    <n v="1507.3541056725778"/>
    <n v="0"/>
    <n v="0"/>
    <n v="0"/>
    <n v="0"/>
    <n v="1464.1340606762096"/>
    <n v="0"/>
    <n v="376579.99999999831"/>
    <n v="494416.35584217514"/>
    <n v="343185.45194739167"/>
    <n v="0"/>
    <n v="17243400"/>
    <n v="26757"/>
    <n v="0"/>
    <n v="338921.99999999849"/>
    <n v="444974.72025795758"/>
    <n v="308866.90675265255"/>
    <n v="0"/>
    <n v="15519060"/>
    <x v="1"/>
    <n v="0"/>
    <n v="0"/>
    <n v="0"/>
    <n v="0"/>
  </r>
  <r>
    <n v="52"/>
    <x v="2"/>
    <s v="P1200042"/>
    <s v="FB001 FEEDING BOWL"/>
    <x v="2"/>
    <n v="25135"/>
    <n v="5.9999999999997131"/>
    <n v="61.149892172350803"/>
    <n v="39.716630724116946"/>
    <n v="445"/>
    <n v="0"/>
    <n v="0"/>
    <n v="0"/>
    <n v="0"/>
    <n v="0"/>
    <n v="24"/>
    <n v="75"/>
    <n v="445"/>
    <n v="336.13123159245077"/>
    <n v="0"/>
    <n v="0"/>
    <n v="0"/>
    <n v="0"/>
    <n v="289.94159436180399"/>
    <n v="0"/>
    <n v="150809.99999999278"/>
    <n v="1537002.5397520375"/>
    <n v="998277.51325067948"/>
    <n v="0"/>
    <n v="11185075"/>
    <n v="22622"/>
    <n v="0"/>
    <n v="135731.99999999351"/>
    <n v="1383332.8607229199"/>
    <n v="898469.62024097354"/>
    <n v="0"/>
    <n v="10066790"/>
    <x v="1"/>
    <n v="0"/>
    <n v="0"/>
    <n v="0"/>
    <n v="0"/>
  </r>
  <r>
    <n v="53"/>
    <x v="2"/>
    <s v="P1200043"/>
    <s v="FC04A CONTAINER 240ML"/>
    <x v="1"/>
    <n v="23784"/>
    <n v="18.666666666666963"/>
    <n v="29.3255608370606"/>
    <n v="29.108520279020201"/>
    <n v="321"/>
    <n v="0"/>
    <n v="0"/>
    <n v="23"/>
    <n v="0"/>
    <n v="24"/>
    <n v="24"/>
    <n v="75"/>
    <n v="344"/>
    <n v="354.53536975007557"/>
    <n v="0"/>
    <n v="1"/>
    <n v="0"/>
    <n v="0"/>
    <n v="324.3116820916581"/>
    <n v="0"/>
    <n v="443968.00000000704"/>
    <n v="697479.13894864928"/>
    <n v="692317.04631621647"/>
    <n v="0"/>
    <n v="8181696"/>
    <n v="21406"/>
    <n v="0"/>
    <n v="399578.66666667303"/>
    <n v="627742.95527811919"/>
    <n v="623096.9850927064"/>
    <n v="0"/>
    <n v="7363664"/>
    <x v="1"/>
    <n v="-1"/>
    <n v="1"/>
    <n v="1"/>
    <n v="25"/>
  </r>
  <r>
    <n v="54"/>
    <x v="2"/>
    <s v="P1200044"/>
    <s v="FC005 CONTAINER 120ML"/>
    <x v="3"/>
    <n v="21622"/>
    <n v="0.66666666666666996"/>
    <n v="0"/>
    <n v="1.6666666666666665"/>
    <n v="64"/>
    <n v="0"/>
    <n v="0"/>
    <n v="0"/>
    <n v="0"/>
    <n v="0"/>
    <n v="24"/>
    <n v="75"/>
    <n v="64"/>
    <n v="1152.0000000000002"/>
    <n v="0"/>
    <n v="0"/>
    <n v="0"/>
    <n v="0"/>
    <n v="1152.0000000000002"/>
    <n v="0"/>
    <n v="14414.666666666737"/>
    <n v="0"/>
    <n v="36036.666666666664"/>
    <n v="0"/>
    <n v="1383808"/>
    <n v="19460"/>
    <n v="0"/>
    <n v="12973.333333333398"/>
    <n v="0"/>
    <n v="32433.333333333332"/>
    <n v="0"/>
    <n v="1245440"/>
    <x v="2"/>
    <n v="0"/>
    <n v="0"/>
    <n v="0"/>
    <n v="0"/>
  </r>
  <r>
    <n v="55"/>
    <x v="2"/>
    <s v="P1200046"/>
    <s v="NAS03 PICKER NOSE &amp; EAR"/>
    <x v="3"/>
    <n v="29459"/>
    <n v="849.66666666666697"/>
    <n v="1056.6012716410141"/>
    <n v="907.53375721367138"/>
    <n v="1818"/>
    <n v="312"/>
    <n v="96"/>
    <n v="182"/>
    <n v="264"/>
    <n v="168"/>
    <n v="24"/>
    <n v="75"/>
    <n v="2312"/>
    <n v="76.426909135535055"/>
    <n v="749.43566467519258"/>
    <n v="0"/>
    <n v="749.43566467519258"/>
    <n v="744"/>
    <n v="74.820315289696296"/>
    <n v="21917496"/>
    <n v="25030330.333333343"/>
    <n v="31126416.861272637"/>
    <n v="26735036.953757547"/>
    <n v="7777176"/>
    <n v="68109208"/>
    <n v="26514"/>
    <n v="19726416"/>
    <n v="22528062.000000007"/>
    <n v="28014726.11628985"/>
    <n v="24062350.038763285"/>
    <n v="6999696"/>
    <n v="61300368"/>
    <x v="1"/>
    <n v="744"/>
    <n v="0"/>
    <n v="0"/>
    <n v="0"/>
  </r>
  <r>
    <n v="56"/>
    <x v="2"/>
    <s v="P1200047"/>
    <s v="WN07V BOTTLE WIDE VIOLET 120ML"/>
    <x v="3"/>
    <n v="22973"/>
    <n v="398.66666666666742"/>
    <n v="495.12003255201631"/>
    <n v="445.37334418400542"/>
    <n v="846"/>
    <n v="96"/>
    <n v="36"/>
    <n v="5"/>
    <n v="120"/>
    <n v="144"/>
    <n v="12"/>
    <n v="75"/>
    <n v="947"/>
    <n v="63.789179058418107"/>
    <n v="541.5533930120298"/>
    <n v="55"/>
    <n v="541.5533930120298"/>
    <n v="540"/>
    <n v="74.895364662098771"/>
    <n v="12405420"/>
    <n v="9158569.3333333507"/>
    <n v="11374392.507817471"/>
    <n v="10231561.835939156"/>
    <n v="2756760"/>
    <n v="21755431"/>
    <n v="20676"/>
    <n v="11165040"/>
    <n v="8242832.0000000158"/>
    <n v="10237101.793045489"/>
    <n v="9208539.2643484958"/>
    <n v="2481120"/>
    <n v="19580172"/>
    <x v="1"/>
    <n v="485"/>
    <n v="0"/>
    <n v="7"/>
    <n v="43"/>
  </r>
  <r>
    <n v="57"/>
    <x v="2"/>
    <s v="P1200048"/>
    <s v="WN07O BOTTLE WIDE ORANGE 120ML"/>
    <x v="3"/>
    <n v="22973"/>
    <n v="370.00000000000006"/>
    <n v="491.8029753735708"/>
    <n v="414.26765845785684"/>
    <n v="840"/>
    <n v="48"/>
    <n v="60"/>
    <n v="65"/>
    <n v="120"/>
    <n v="156"/>
    <n v="12"/>
    <n v="75"/>
    <n v="953"/>
    <n v="69.013352638795098"/>
    <n v="454.47212151821304"/>
    <n v="31"/>
    <n v="454.47212151821304"/>
    <n v="456"/>
    <n v="75.110644298481418"/>
    <n v="10475688"/>
    <n v="8500010.0000000019"/>
    <n v="11298189.753257042"/>
    <n v="9516970.917752346"/>
    <n v="2756760"/>
    <n v="21893269"/>
    <n v="20676"/>
    <n v="9428256"/>
    <n v="7650120.0000000009"/>
    <n v="10168518.31882395"/>
    <n v="8565398.1062746476"/>
    <n v="2481120"/>
    <n v="19704228"/>
    <x v="1"/>
    <n v="425"/>
    <n v="0"/>
    <n v="0"/>
    <n v="0"/>
  </r>
  <r>
    <n v="58"/>
    <x v="2"/>
    <s v="P1200049"/>
    <s v="WNC2G BOTTLE CONTAINER GREEN"/>
    <x v="1"/>
    <n v="38919"/>
    <n v="2"/>
    <n v="12"/>
    <n v="6"/>
    <n v="189"/>
    <n v="0"/>
    <n v="0"/>
    <n v="3"/>
    <n v="0"/>
    <n v="12"/>
    <n v="12"/>
    <n v="75"/>
    <n v="192"/>
    <n v="960"/>
    <n v="0"/>
    <n v="9"/>
    <n v="0"/>
    <n v="0"/>
    <n v="900"/>
    <n v="0"/>
    <n v="77838"/>
    <n v="467028"/>
    <n v="233514"/>
    <n v="0"/>
    <n v="7472448"/>
    <n v="35027"/>
    <n v="0"/>
    <n v="70054"/>
    <n v="420324"/>
    <n v="210162"/>
    <n v="0"/>
    <n v="6725184"/>
    <x v="1"/>
    <n v="-9"/>
    <n v="9"/>
    <n v="9"/>
    <n v="9"/>
  </r>
  <r>
    <n v="59"/>
    <x v="2"/>
    <s v="P1200050"/>
    <s v="WN08V BOTTLE WIDE VIOLET 250ML"/>
    <x v="3"/>
    <n v="24054"/>
    <n v="571.33333333333292"/>
    <n v="710.58787177921874"/>
    <n v="620.86262392640629"/>
    <n v="1157"/>
    <n v="180"/>
    <n v="96"/>
    <n v="31"/>
    <n v="144"/>
    <n v="120"/>
    <n v="12"/>
    <n v="75"/>
    <n v="1368"/>
    <n v="66.101579348517291"/>
    <n v="750.74443159523435"/>
    <n v="41"/>
    <n v="750.74443159523435"/>
    <n v="756"/>
    <n v="75.253948371293248"/>
    <n v="18184824"/>
    <n v="13742851.999999991"/>
    <n v="17092480.667777326"/>
    <n v="14934229.555925777"/>
    <n v="3463776"/>
    <n v="32905872"/>
    <n v="21649"/>
    <n v="16366644"/>
    <n v="12368795.333333325"/>
    <n v="15383516.836148307"/>
    <n v="13441054.94538277"/>
    <n v="3117456"/>
    <n v="29615832"/>
    <x v="1"/>
    <n v="715"/>
    <n v="0"/>
    <n v="0"/>
    <n v="0"/>
  </r>
  <r>
    <n v="60"/>
    <x v="2"/>
    <s v="P1200051"/>
    <s v="WN07B BOTTLE WIDE BLUE 120ML"/>
    <x v="3"/>
    <n v="22973"/>
    <n v="571.66666666666742"/>
    <n v="678.82066589250485"/>
    <n v="611.6068886308351"/>
    <n v="1146"/>
    <n v="84"/>
    <n v="48"/>
    <n v="24"/>
    <n v="144"/>
    <n v="216"/>
    <n v="12"/>
    <n v="75"/>
    <n v="1254"/>
    <n v="61.510098560559811"/>
    <n v="809.83788746959272"/>
    <n v="96"/>
    <n v="809.83788746959272"/>
    <n v="804"/>
    <n v="74.713645108739954"/>
    <n v="18470292"/>
    <n v="13132898.333333351"/>
    <n v="15594547.157548513"/>
    <n v="14050445.052516175"/>
    <n v="3308112"/>
    <n v="28808142"/>
    <n v="20676"/>
    <n v="16623504"/>
    <n v="11819780.000000015"/>
    <n v="14035296.08799343"/>
    <n v="12645584.029331146"/>
    <n v="2977344"/>
    <n v="25927704"/>
    <x v="1"/>
    <n v="708"/>
    <n v="12"/>
    <n v="36"/>
    <n v="84"/>
  </r>
  <r>
    <n v="61"/>
    <x v="2"/>
    <s v="P1200052"/>
    <s v="WNC2B BOTTLE CONTAINER BLUE"/>
    <x v="1"/>
    <n v="38919"/>
    <n v="5"/>
    <n v="2.4673994654845002"/>
    <n v="5.1557998218281664"/>
    <n v="172"/>
    <n v="0"/>
    <n v="0"/>
    <n v="0"/>
    <n v="0"/>
    <n v="0"/>
    <n v="12"/>
    <n v="75"/>
    <n v="172"/>
    <n v="1000.8146511340591"/>
    <n v="0"/>
    <n v="0"/>
    <n v="0"/>
    <n v="0"/>
    <n v="986.4576189523309"/>
    <n v="0"/>
    <n v="194595"/>
    <n v="96028.719797191268"/>
    <n v="200658.5732657304"/>
    <n v="0"/>
    <n v="6694068"/>
    <n v="35027"/>
    <n v="0"/>
    <n v="175135"/>
    <n v="86425.601077525585"/>
    <n v="180592.20035917519"/>
    <n v="0"/>
    <n v="6024644"/>
    <x v="1"/>
    <n v="0"/>
    <n v="0"/>
    <n v="0"/>
    <n v="0"/>
  </r>
  <r>
    <n v="62"/>
    <x v="2"/>
    <s v="P1200053"/>
    <s v="WNC2P BOTTLE CONTAINER PINK"/>
    <x v="1"/>
    <n v="38919"/>
    <n v="3.6666666666666297"/>
    <n v="9"/>
    <n v="7.6666666666666661"/>
    <n v="174"/>
    <n v="0"/>
    <n v="0"/>
    <n v="2"/>
    <n v="0"/>
    <n v="12"/>
    <n v="12"/>
    <n v="75"/>
    <n v="176"/>
    <n v="688.69565217391312"/>
    <n v="0"/>
    <n v="10"/>
    <n v="0"/>
    <n v="0"/>
    <n v="653.47826086956525"/>
    <n v="0"/>
    <n v="142702.99999999857"/>
    <n v="350271"/>
    <n v="298379"/>
    <n v="0"/>
    <n v="6849744"/>
    <n v="35027"/>
    <n v="0"/>
    <n v="128432.33333333203"/>
    <n v="315243"/>
    <n v="268540.33333333331"/>
    <n v="0"/>
    <n v="6164752"/>
    <x v="1"/>
    <n v="-10"/>
    <n v="0"/>
    <n v="0"/>
    <n v="0"/>
  </r>
  <r>
    <n v="63"/>
    <x v="2"/>
    <s v="P1200054"/>
    <s v="WN07G BOTTLE WIDE GREEN 120ML"/>
    <x v="3"/>
    <n v="22973"/>
    <n v="376.33333333333229"/>
    <n v="506.75907839275197"/>
    <n v="421.58635946425062"/>
    <n v="888"/>
    <n v="36"/>
    <n v="60"/>
    <n v="23"/>
    <n v="120"/>
    <n v="156"/>
    <n v="12"/>
    <n v="75"/>
    <n v="947"/>
    <n v="67.388328303845626"/>
    <n v="493.72497705337855"/>
    <n v="73"/>
    <n v="493.72497705337855"/>
    <n v="492"/>
    <n v="74.877250982059493"/>
    <n v="11302716"/>
    <n v="8645505.6666666418"/>
    <n v="11641776.307916692"/>
    <n v="9685103.4359722286"/>
    <n v="2756760"/>
    <n v="21755431"/>
    <n v="20676"/>
    <n v="10172592"/>
    <n v="7781067.9999999786"/>
    <n v="10477750.704848539"/>
    <n v="8716719.5682828464"/>
    <n v="2481120"/>
    <n v="19580172"/>
    <x v="1"/>
    <n v="419"/>
    <n v="0"/>
    <n v="13"/>
    <n v="13"/>
  </r>
  <r>
    <n v="64"/>
    <x v="2"/>
    <s v="P1200055"/>
    <s v="WN08B BOTTLE WIDE BLUE 250ML"/>
    <x v="3"/>
    <n v="24054"/>
    <n v="765.99999999999886"/>
    <n v="913.88769411594035"/>
    <n v="825.2958980386469"/>
    <n v="1468"/>
    <n v="204"/>
    <n v="84"/>
    <n v="108"/>
    <n v="132"/>
    <n v="120"/>
    <n v="12"/>
    <n v="75"/>
    <n v="1780"/>
    <n v="64.704065689539362"/>
    <n v="1065.1274392125579"/>
    <n v="0"/>
    <n v="800"/>
    <n v="804"/>
    <n v="65.507861247106447"/>
    <n v="19339416"/>
    <n v="18425363.999999974"/>
    <n v="21982654.594264828"/>
    <n v="19851667.531421613"/>
    <n v="3175128"/>
    <n v="42816120"/>
    <n v="21649"/>
    <n v="17405796"/>
    <n v="16583133.999999976"/>
    <n v="19784754.689915992"/>
    <n v="17866830.896638665"/>
    <n v="2857668"/>
    <n v="38535220"/>
    <x v="1"/>
    <n v="804"/>
    <n v="0"/>
    <n v="0"/>
    <n v="0"/>
  </r>
  <r>
    <n v="65"/>
    <x v="2"/>
    <s v="P1200056"/>
    <s v="WN08G BOTTLE WIDE GREEN 250ML"/>
    <x v="3"/>
    <n v="24054"/>
    <n v="558.66666666666617"/>
    <n v="681.0212034044788"/>
    <n v="606.00706780149301"/>
    <n v="1048"/>
    <n v="132"/>
    <n v="108"/>
    <n v="14"/>
    <n v="180"/>
    <n v="168"/>
    <n v="12"/>
    <n v="75"/>
    <n v="1194"/>
    <n v="59.108221509610175"/>
    <n v="822.03887290821149"/>
    <n v="82"/>
    <n v="822.03887290821149"/>
    <n v="828"/>
    <n v="75.295101859789256"/>
    <n v="19916712"/>
    <n v="13438167.999999989"/>
    <n v="16381284.026691332"/>
    <n v="14576894.008897113"/>
    <n v="4329720"/>
    <n v="28720476"/>
    <n v="21649"/>
    <n v="17925372"/>
    <n v="12094574.666666657"/>
    <n v="14743428.032503562"/>
    <n v="13119447.010834523"/>
    <n v="3896820"/>
    <n v="25848906"/>
    <x v="1"/>
    <n v="746"/>
    <n v="0"/>
    <n v="0"/>
    <n v="0"/>
  </r>
  <r>
    <n v="66"/>
    <x v="2"/>
    <s v="P1200057"/>
    <s v="WN08O BOTTLE WIDE ORANGE 250ML"/>
    <x v="3"/>
    <n v="24054"/>
    <n v="536.33333333333417"/>
    <n v="663.61511534065437"/>
    <n v="580.53837178021809"/>
    <n v="1027"/>
    <n v="84"/>
    <n v="72"/>
    <n v="50"/>
    <n v="204"/>
    <n v="216"/>
    <n v="12"/>
    <n v="75"/>
    <n v="1161"/>
    <n v="59.996034186670514"/>
    <n v="749.96104479119958"/>
    <n v="34"/>
    <n v="749.96104479119958"/>
    <n v="744"/>
    <n v="74.691956031799236"/>
    <n v="17896176"/>
    <n v="12900962.00000002"/>
    <n v="15962597.9844041"/>
    <n v="13964269.994801367"/>
    <n v="4907016"/>
    <n v="27926694"/>
    <n v="21649"/>
    <n v="16106856"/>
    <n v="11611080.333333351"/>
    <n v="14366603.632009827"/>
    <n v="12568075.210669942"/>
    <n v="4416396"/>
    <n v="25134489"/>
    <x v="1"/>
    <n v="710"/>
    <n v="0"/>
    <n v="0"/>
    <n v="0"/>
  </r>
  <r>
    <n v="67"/>
    <x v="2"/>
    <s v="P1200058"/>
    <s v="WC2BG CONTAINER BLUE GREEN"/>
    <x v="2"/>
    <n v="30270"/>
    <n v="3"/>
    <n v="27.4724214372124"/>
    <n v="9.1574738124041328"/>
    <n v="978"/>
    <n v="0"/>
    <n v="0"/>
    <n v="24"/>
    <n v="0"/>
    <n v="0"/>
    <n v="12"/>
    <n v="75"/>
    <n v="1002"/>
    <n v="3282.5646696671552"/>
    <n v="0"/>
    <n v="0"/>
    <n v="0"/>
    <n v="0"/>
    <n v="3192.5646696671556"/>
    <n v="0"/>
    <n v="90810"/>
    <n v="831590.19690441934"/>
    <n v="277196.73230147309"/>
    <n v="0"/>
    <n v="30330540"/>
    <n v="27243"/>
    <n v="0"/>
    <n v="81729"/>
    <n v="748431.17721397744"/>
    <n v="249477.05907132578"/>
    <n v="0"/>
    <n v="27297486"/>
    <x v="1"/>
    <n v="0"/>
    <n v="0"/>
    <n v="0"/>
    <n v="0"/>
  </r>
  <r>
    <n v="68"/>
    <x v="2"/>
    <s v="P1200060"/>
    <s v="WC2PG CONTAINER PINK GREEN"/>
    <x v="2"/>
    <n v="30270"/>
    <n v="-9.9920072216264089E-15"/>
    <n v="2.2894970601606"/>
    <n v="0.42983235338686665"/>
    <n v="977"/>
    <n v="0"/>
    <n v="0"/>
    <n v="120"/>
    <n v="0"/>
    <n v="0"/>
    <n v="12"/>
    <n v="75"/>
    <n v="1097"/>
    <n v="9999"/>
    <n v="0"/>
    <n v="0"/>
    <n v="0"/>
    <n v="0"/>
    <n v="76404.939808327224"/>
    <n v="0"/>
    <n v="-3.024580585986314E-10"/>
    <n v="69303.076011061363"/>
    <n v="13011.025337020454"/>
    <n v="0"/>
    <n v="33206190"/>
    <n v="27243"/>
    <n v="0"/>
    <n v="-2.7221225273876826E-10"/>
    <n v="62372.768409955228"/>
    <n v="11709.922803318408"/>
    <n v="0"/>
    <n v="29885571"/>
    <x v="1"/>
    <n v="0"/>
    <n v="0"/>
    <n v="0"/>
    <n v="0"/>
  </r>
  <r>
    <n v="69"/>
    <x v="2"/>
    <s v="P1200061"/>
    <s v="WC2OY CONTAINER ORANGE YELLOW"/>
    <x v="2"/>
    <n v="30270"/>
    <n v="1.3333333333333299"/>
    <n v="3.1426009983393"/>
    <n v="1.7142003327797666"/>
    <n v="1036"/>
    <n v="0"/>
    <n v="0"/>
    <n v="36"/>
    <n v="0"/>
    <n v="0"/>
    <n v="12"/>
    <n v="75"/>
    <n v="1072"/>
    <n v="9999"/>
    <n v="0"/>
    <n v="0"/>
    <n v="0"/>
    <n v="0"/>
    <n v="18705.936148111512"/>
    <n v="0"/>
    <n v="40359.999999999898"/>
    <n v="95126.532219730609"/>
    <n v="51888.844073243534"/>
    <n v="0"/>
    <n v="32449440"/>
    <n v="27243"/>
    <n v="0"/>
    <n v="36323.999999999905"/>
    <n v="85613.878997757551"/>
    <n v="46699.959665919181"/>
    <n v="0"/>
    <n v="29204496"/>
    <x v="1"/>
    <n v="0"/>
    <n v="0"/>
    <n v="0"/>
    <n v="0"/>
  </r>
  <r>
    <n v="70"/>
    <x v="2"/>
    <s v="P1200064"/>
    <s v="PC03S PACIFIER 0 M+"/>
    <x v="3"/>
    <n v="15946"/>
    <n v="1290.3333333333298"/>
    <n v="1514.2645610391396"/>
    <n v="1371.0881870130468"/>
    <n v="2052"/>
    <n v="456"/>
    <n v="180"/>
    <n v="153"/>
    <n v="348"/>
    <n v="276"/>
    <n v="12"/>
    <n v="75"/>
    <n v="2661"/>
    <n v="58.223825977169163"/>
    <n v="1932.9850285717566"/>
    <n v="0"/>
    <n v="1932.9850285717566"/>
    <n v="1932"/>
    <n v="74.978447150640932"/>
    <n v="30807672"/>
    <n v="20575655.333333276"/>
    <n v="24146462.690330122"/>
    <n v="21863372.230110046"/>
    <n v="5549208"/>
    <n v="42432306"/>
    <n v="14351"/>
    <n v="27726132"/>
    <n v="18517573.666666616"/>
    <n v="21731210.715472691"/>
    <n v="19676486.571824234"/>
    <n v="4994148"/>
    <n v="38188011"/>
    <x v="1"/>
    <n v="1932"/>
    <n v="0"/>
    <n v="0"/>
    <n v="0"/>
  </r>
  <r>
    <n v="71"/>
    <x v="2"/>
    <s v="P1200065"/>
    <s v="PC04M PACIFIER 6 M+"/>
    <x v="3"/>
    <n v="15946"/>
    <n v="850.66666666666742"/>
    <n v="1095.8427147585007"/>
    <n v="930.61423825283362"/>
    <n v="1619"/>
    <n v="264"/>
    <n v="132"/>
    <n v="91"/>
    <n v="228"/>
    <n v="132"/>
    <n v="12"/>
    <n v="75"/>
    <n v="1974"/>
    <n v="63.635390009916051"/>
    <n v="1220.3783103905848"/>
    <n v="0"/>
    <n v="1220.3783103905848"/>
    <n v="1224"/>
    <n v="75.11675158601318"/>
    <n v="19517904"/>
    <n v="13564730.666666679"/>
    <n v="17474307.929539051"/>
    <n v="14839574.643179685"/>
    <n v="3635688"/>
    <n v="31477404"/>
    <n v="14351"/>
    <n v="17565624"/>
    <n v="12207917.333333345"/>
    <n v="15726438.799499243"/>
    <n v="13355244.933166414"/>
    <n v="3272028"/>
    <n v="28328874"/>
    <x v="1"/>
    <n v="1224"/>
    <n v="0"/>
    <n v="0"/>
    <n v="0"/>
  </r>
  <r>
    <n v="72"/>
    <x v="2"/>
    <s v="P1200066"/>
    <s v="JP034 CUP SPOUT 260ML"/>
    <x v="3"/>
    <n v="30811"/>
    <n v="800.33333333333348"/>
    <n v="1112.9322740824114"/>
    <n v="889.64409136080371"/>
    <n v="1836"/>
    <n v="156"/>
    <n v="96"/>
    <n v="449"/>
    <n v="132"/>
    <n v="108"/>
    <n v="12"/>
    <n v="75"/>
    <n v="2441"/>
    <n v="82.313815953059446"/>
    <n v="764.04250248442077"/>
    <n v="0"/>
    <n v="764.04250248442077"/>
    <n v="768"/>
    <n v="75.133452159824699"/>
    <n v="23662848"/>
    <n v="24659070.33333334"/>
    <n v="34290556.296753176"/>
    <n v="27410824.098917723"/>
    <n v="4067052"/>
    <n v="75209651"/>
    <n v="27730"/>
    <n v="21296640"/>
    <n v="22193243.333333336"/>
    <n v="30861611.960305266"/>
    <n v="24669830.653435089"/>
    <n v="3660360"/>
    <n v="67688930"/>
    <x v="1"/>
    <n v="768"/>
    <n v="0"/>
    <n v="0"/>
    <n v="0"/>
  </r>
  <r>
    <n v="73"/>
    <x v="2"/>
    <s v="P1200067"/>
    <s v="FS801 FEEDING SET"/>
    <x v="3"/>
    <n v="30270"/>
    <n v="4.3333333333333401"/>
    <n v="0"/>
    <n v="2.6666666666666665"/>
    <n v="55"/>
    <n v="0"/>
    <n v="0"/>
    <n v="0"/>
    <n v="0"/>
    <n v="0"/>
    <n v="24"/>
    <n v="75"/>
    <n v="55"/>
    <n v="618.75"/>
    <n v="0"/>
    <n v="0"/>
    <n v="0"/>
    <n v="0"/>
    <n v="618.75"/>
    <n v="0"/>
    <n v="131170.0000000002"/>
    <n v="0"/>
    <n v="80720"/>
    <n v="0"/>
    <n v="1664850"/>
    <n v="27243"/>
    <n v="0"/>
    <n v="118053.00000000019"/>
    <n v="0"/>
    <n v="72648"/>
    <n v="0"/>
    <n v="1498365"/>
    <x v="2"/>
    <n v="0"/>
    <n v="0"/>
    <n v="0"/>
    <n v="0"/>
  </r>
  <r>
    <n v="74"/>
    <x v="2"/>
    <s v="P1200068"/>
    <s v="FS802  FEEDING SET"/>
    <x v="3"/>
    <n v="30270"/>
    <n v="5.0000000000000391"/>
    <n v="0"/>
    <n v="2.3333333333333335"/>
    <n v="61"/>
    <n v="0"/>
    <n v="0"/>
    <n v="0"/>
    <n v="0"/>
    <n v="0"/>
    <n v="24"/>
    <n v="75"/>
    <n v="61"/>
    <n v="784.28571428571422"/>
    <n v="0"/>
    <n v="0"/>
    <n v="0"/>
    <n v="0"/>
    <n v="784.28571428571422"/>
    <n v="0"/>
    <n v="151350.00000000119"/>
    <n v="0"/>
    <n v="70630"/>
    <n v="0"/>
    <n v="1846470"/>
    <n v="27243"/>
    <n v="0"/>
    <n v="136215.00000000108"/>
    <n v="0"/>
    <n v="63567.000000000007"/>
    <n v="0"/>
    <n v="1661823"/>
    <x v="2"/>
    <n v="0"/>
    <n v="0"/>
    <n v="0"/>
    <n v="0"/>
  </r>
  <r>
    <n v="75"/>
    <x v="2"/>
    <s v="P1200069"/>
    <s v="B357G MEAL PLATE WITH COVER GREEN"/>
    <x v="3"/>
    <n v="43784"/>
    <n v="20.999999999999929"/>
    <n v="62.930951117903803"/>
    <n v="37.976983705967939"/>
    <n v="161"/>
    <n v="0"/>
    <n v="24"/>
    <n v="0"/>
    <n v="0"/>
    <n v="24"/>
    <n v="24"/>
    <n v="75"/>
    <n v="161"/>
    <n v="127.18229645081011"/>
    <n v="0"/>
    <n v="48"/>
    <n v="0"/>
    <n v="0"/>
    <n v="77.469856196097808"/>
    <n v="0"/>
    <n v="919463.99999999686"/>
    <n v="2755368.7637463002"/>
    <n v="1662784.2545821003"/>
    <n v="0"/>
    <n v="7049224"/>
    <n v="39405"/>
    <n v="0"/>
    <n v="827504.99999999721"/>
    <n v="2479794.1288009994"/>
    <n v="1496483.0429336666"/>
    <n v="0"/>
    <n v="6344205"/>
    <x v="1"/>
    <n v="-48"/>
    <n v="0"/>
    <n v="0"/>
    <n v="0"/>
  </r>
  <r>
    <n v="76"/>
    <x v="2"/>
    <s v="P1200070"/>
    <s v="B357O MEAL PLATE WITH COVER ORANGE"/>
    <x v="3"/>
    <n v="43784"/>
    <n v="25.333333333333037"/>
    <n v="71.296161112923599"/>
    <n v="34.432053704307862"/>
    <n v="165"/>
    <n v="0"/>
    <n v="0"/>
    <n v="0"/>
    <n v="0"/>
    <n v="24"/>
    <n v="24"/>
    <n v="75"/>
    <n v="165"/>
    <n v="143.7613928727317"/>
    <n v="0"/>
    <n v="24"/>
    <n v="0"/>
    <n v="0"/>
    <n v="81.642390278352408"/>
    <n v="0"/>
    <n v="1109194.6666666537"/>
    <n v="3121631.1181682469"/>
    <n v="1507573.0393894154"/>
    <n v="0"/>
    <n v="7224360"/>
    <n v="39405"/>
    <n v="0"/>
    <n v="998259.99999998836"/>
    <n v="2809425.2286547543"/>
    <n v="1356795.0762182514"/>
    <n v="0"/>
    <n v="6501825"/>
    <x v="1"/>
    <n v="-24"/>
    <n v="0"/>
    <n v="0"/>
    <n v="0"/>
  </r>
  <r>
    <n v="77"/>
    <x v="2"/>
    <s v="P1200072"/>
    <s v="FC008 GLASS CONTAINER 240ML"/>
    <x v="3"/>
    <n v="34324"/>
    <n v="173.00000000000034"/>
    <n v="0"/>
    <n v="81.333333333333329"/>
    <n v="112"/>
    <n v="0"/>
    <n v="0"/>
    <n v="0"/>
    <n v="0"/>
    <n v="120"/>
    <n v="24"/>
    <n v="75"/>
    <n v="112"/>
    <n v="41.311475409836063"/>
    <n v="91.333333333333314"/>
    <n v="120"/>
    <n v="0"/>
    <n v="0"/>
    <n v="41.311475409836063"/>
    <n v="0"/>
    <n v="5938052.0000000121"/>
    <n v="0"/>
    <n v="2791685.333333333"/>
    <n v="0"/>
    <n v="3844288"/>
    <n v="30892"/>
    <n v="0"/>
    <n v="5344316.0000000102"/>
    <n v="0"/>
    <n v="2512549.333333333"/>
    <n v="0"/>
    <n v="3459904"/>
    <x v="2"/>
    <n v="-120"/>
    <n v="0"/>
    <n v="0"/>
    <n v="0"/>
  </r>
  <r>
    <n v="78"/>
    <x v="2"/>
    <s v="P1200073"/>
    <s v="BK010 WASHABLE NURSHING PAD 10CM"/>
    <x v="2"/>
    <n v="36216"/>
    <n v="10.3333333333333"/>
    <n v="36.879385843185403"/>
    <n v="18.959795281061801"/>
    <n v="115"/>
    <n v="0"/>
    <n v="0"/>
    <n v="0"/>
    <n v="0"/>
    <n v="0"/>
    <n v="48"/>
    <n v="75"/>
    <n v="115"/>
    <n v="181.9639900566896"/>
    <n v="0"/>
    <n v="0"/>
    <n v="0"/>
    <n v="0"/>
    <n v="123.60990137089649"/>
    <n v="0"/>
    <n v="374231.99999999878"/>
    <n v="1335623.8376968026"/>
    <n v="686647.94589893415"/>
    <n v="0"/>
    <n v="4164840"/>
    <n v="32595"/>
    <n v="0"/>
    <n v="336814.99999999889"/>
    <n v="1202083.5815586282"/>
    <n v="617994.52718620945"/>
    <n v="0"/>
    <n v="3748425"/>
    <x v="1"/>
    <n v="0"/>
    <n v="0"/>
    <n v="0"/>
    <n v="0"/>
  </r>
  <r>
    <n v="79"/>
    <x v="2"/>
    <s v="P1200074"/>
    <s v="BK012 WASHABLE NURSHING PAD 12CM"/>
    <x v="2"/>
    <n v="43784"/>
    <n v="6.6666666666666998"/>
    <n v="0"/>
    <n v="4.666666666666667"/>
    <n v="96"/>
    <n v="0"/>
    <n v="0"/>
    <n v="0"/>
    <n v="0"/>
    <n v="0"/>
    <n v="48"/>
    <n v="75"/>
    <n v="96"/>
    <n v="617.14285714285711"/>
    <n v="0"/>
    <n v="0"/>
    <n v="0"/>
    <n v="0"/>
    <n v="617.14285714285711"/>
    <n v="0"/>
    <n v="291893.33333333477"/>
    <n v="0"/>
    <n v="204325.33333333334"/>
    <n v="0"/>
    <n v="4203264"/>
    <n v="39405"/>
    <n v="0"/>
    <n v="262700.00000000128"/>
    <n v="0"/>
    <n v="183890"/>
    <n v="0"/>
    <n v="3782880"/>
    <x v="2"/>
    <n v="0"/>
    <n v="0"/>
    <n v="0"/>
    <n v="0"/>
  </r>
  <r>
    <n v="80"/>
    <x v="2"/>
    <s v="P1200077"/>
    <s v="STE02 STERILIZER WITH DRYER"/>
    <x v="3"/>
    <n v="486486"/>
    <n v="0"/>
    <n v="0"/>
    <n v="-0.33333333333333337"/>
    <n v="46"/>
    <n v="0"/>
    <n v="0"/>
    <n v="0"/>
    <n v="0"/>
    <n v="0"/>
    <n v="8"/>
    <n v="75"/>
    <n v="46"/>
    <n v="9999"/>
    <n v="0"/>
    <n v="0"/>
    <n v="0"/>
    <n v="0"/>
    <n v="9999"/>
    <n v="0"/>
    <n v="0"/>
    <n v="0"/>
    <n v="-162162.00000000003"/>
    <n v="0"/>
    <n v="22378356"/>
    <n v="437838"/>
    <n v="0"/>
    <n v="0"/>
    <n v="0"/>
    <n v="-145946.00000000003"/>
    <n v="0"/>
    <n v="20140548"/>
    <x v="2"/>
    <n v="0"/>
    <n v="0"/>
    <n v="0"/>
    <n v="0"/>
  </r>
  <r>
    <n v="81"/>
    <x v="2"/>
    <s v="P1200079"/>
    <s v="BT12B FOLDABLE BATHTUB BLUE"/>
    <x v="2"/>
    <n v="228649"/>
    <n v="0.66666666666666996"/>
    <n v="0"/>
    <n v="0.66666666666666663"/>
    <n v="4"/>
    <n v="0"/>
    <n v="0"/>
    <n v="0"/>
    <n v="0"/>
    <n v="0"/>
    <n v="1"/>
    <n v="75"/>
    <n v="4"/>
    <n v="180"/>
    <n v="0"/>
    <n v="0"/>
    <n v="0"/>
    <n v="0"/>
    <n v="180"/>
    <n v="0"/>
    <n v="152432.66666666741"/>
    <n v="0"/>
    <n v="152432.66666666666"/>
    <n v="0"/>
    <n v="914596"/>
    <n v="205784"/>
    <n v="0"/>
    <n v="137189.33333333401"/>
    <n v="0"/>
    <n v="137189.33333333331"/>
    <n v="0"/>
    <n v="823136"/>
    <x v="2"/>
    <n v="0"/>
    <n v="0"/>
    <n v="0"/>
    <n v="0"/>
  </r>
  <r>
    <n v="82"/>
    <x v="2"/>
    <s v="P1200080"/>
    <s v="BT12Y FOLDABLE BATHTUB YELLOW"/>
    <x v="2"/>
    <n v="228649"/>
    <n v="1.6666666666666599"/>
    <n v="0"/>
    <n v="1.3333333333333333"/>
    <n v="37"/>
    <n v="0"/>
    <n v="0"/>
    <n v="0"/>
    <n v="0"/>
    <n v="0"/>
    <n v="1"/>
    <n v="75"/>
    <n v="37"/>
    <n v="832.5"/>
    <n v="0"/>
    <n v="0"/>
    <n v="0"/>
    <n v="0"/>
    <n v="832.5"/>
    <n v="0"/>
    <n v="381081.66666666511"/>
    <n v="0"/>
    <n v="304865.33333333331"/>
    <n v="0"/>
    <n v="8460013"/>
    <n v="205784"/>
    <n v="0"/>
    <n v="342973.33333333192"/>
    <n v="0"/>
    <n v="274378.66666666663"/>
    <n v="0"/>
    <n v="7614008"/>
    <x v="2"/>
    <n v="0"/>
    <n v="0"/>
    <n v="0"/>
    <n v="0"/>
  </r>
  <r>
    <n v="83"/>
    <x v="2"/>
    <s v="P1200081"/>
    <s v="WCS01 FOOD CONTAINER  120 ML"/>
    <x v="2"/>
    <n v="15405"/>
    <n v="-5.6666666666666305"/>
    <n v="3.7010991982267001"/>
    <n v="2.9003663994089002"/>
    <n v="219"/>
    <n v="0"/>
    <n v="0"/>
    <n v="0"/>
    <n v="0"/>
    <n v="0"/>
    <n v="12"/>
    <n v="75"/>
    <n v="219"/>
    <n v="2265.2310416156306"/>
    <n v="0"/>
    <n v="0"/>
    <n v="0"/>
    <n v="0"/>
    <n v="2226.9486453054856"/>
    <n v="0"/>
    <n v="-87294.999999999447"/>
    <n v="57015.433148682314"/>
    <n v="44680.144382894105"/>
    <n v="0"/>
    <n v="3373695"/>
    <n v="13865"/>
    <n v="0"/>
    <n v="-78568.333333332834"/>
    <n v="51315.740383413198"/>
    <n v="40213.580127804402"/>
    <n v="0"/>
    <n v="3036435"/>
    <x v="1"/>
    <n v="0"/>
    <n v="0"/>
    <n v="0"/>
    <n v="0"/>
  </r>
  <r>
    <n v="84"/>
    <x v="2"/>
    <s v="P1200082"/>
    <s v="WCS02 FOOD CONTAINER 250 ML"/>
    <x v="2"/>
    <n v="16486"/>
    <n v="2.3333333333333295"/>
    <n v="0"/>
    <n v="0.33333333333333337"/>
    <n v="228"/>
    <n v="0"/>
    <n v="0"/>
    <n v="0"/>
    <n v="0"/>
    <n v="0"/>
    <n v="12"/>
    <n v="75"/>
    <n v="228"/>
    <n v="9999"/>
    <n v="0"/>
    <n v="0"/>
    <n v="0"/>
    <n v="0"/>
    <n v="20519.999999999996"/>
    <n v="0"/>
    <n v="38467.33333333327"/>
    <n v="0"/>
    <n v="5495.3333333333339"/>
    <n v="0"/>
    <n v="3758808"/>
    <n v="14837"/>
    <n v="0"/>
    <n v="34619.666666666606"/>
    <n v="0"/>
    <n v="4945.666666666667"/>
    <n v="0"/>
    <n v="3382836"/>
    <x v="2"/>
    <n v="0"/>
    <n v="0"/>
    <n v="0"/>
    <n v="0"/>
  </r>
  <r>
    <n v="85"/>
    <x v="2"/>
    <s v="P1200083"/>
    <s v="WNC3B BOTTLE CONTAINER BLUE"/>
    <x v="1"/>
    <n v="40541"/>
    <n v="1.6666666666666701"/>
    <n v="0"/>
    <n v="1.9999999999999998"/>
    <n v="42"/>
    <n v="0"/>
    <n v="0"/>
    <n v="0"/>
    <n v="0"/>
    <n v="0"/>
    <n v="12"/>
    <n v="75"/>
    <n v="42"/>
    <n v="630.00000000000011"/>
    <n v="0"/>
    <n v="0"/>
    <n v="0"/>
    <n v="0"/>
    <n v="630.00000000000011"/>
    <n v="0"/>
    <n v="67568.333333333474"/>
    <n v="0"/>
    <n v="81081.999999999985"/>
    <n v="0"/>
    <n v="1702722"/>
    <n v="36487"/>
    <n v="0"/>
    <n v="60811.666666666788"/>
    <n v="0"/>
    <n v="72973.999999999985"/>
    <n v="0"/>
    <n v="1532454"/>
    <x v="2"/>
    <n v="0"/>
    <n v="0"/>
    <n v="0"/>
    <n v="0"/>
  </r>
  <r>
    <n v="86"/>
    <x v="2"/>
    <s v="P1200084"/>
    <s v="WNC3G BOTTLE CONTAINER GREEN"/>
    <x v="1"/>
    <n v="40541"/>
    <n v="1.3333333333333"/>
    <n v="0"/>
    <n v="1.6666666666666665"/>
    <n v="31"/>
    <n v="0"/>
    <n v="0"/>
    <n v="6"/>
    <n v="0"/>
    <n v="0"/>
    <n v="12"/>
    <n v="75"/>
    <n v="37"/>
    <n v="666.00000000000011"/>
    <n v="0"/>
    <n v="0"/>
    <n v="0"/>
    <n v="0"/>
    <n v="666.00000000000011"/>
    <n v="0"/>
    <n v="54054.666666665311"/>
    <n v="0"/>
    <n v="67568.333333333328"/>
    <n v="0"/>
    <n v="1500017"/>
    <n v="36487"/>
    <n v="0"/>
    <n v="48649.333333332113"/>
    <n v="0"/>
    <n v="60811.666666666664"/>
    <n v="0"/>
    <n v="1350019"/>
    <x v="2"/>
    <n v="0"/>
    <n v="0"/>
    <n v="0"/>
    <n v="0"/>
  </r>
  <r>
    <n v="87"/>
    <x v="2"/>
    <s v="P1200085"/>
    <s v="WNC3P BOTTLE CONTAINER PINK"/>
    <x v="1"/>
    <n v="40541"/>
    <n v="2.9999999999999698"/>
    <n v="0"/>
    <n v="2.6666666666666665"/>
    <n v="29"/>
    <n v="0"/>
    <n v="0"/>
    <n v="0"/>
    <n v="0"/>
    <n v="0"/>
    <n v="12"/>
    <n v="75"/>
    <n v="29"/>
    <n v="326.25"/>
    <n v="0"/>
    <n v="0"/>
    <n v="0"/>
    <n v="0"/>
    <n v="326.25"/>
    <n v="0"/>
    <n v="121622.99999999878"/>
    <n v="0"/>
    <n v="108109.33333333333"/>
    <n v="0"/>
    <n v="1175689"/>
    <n v="36487"/>
    <n v="0"/>
    <n v="109460.99999999889"/>
    <n v="0"/>
    <n v="97298.666666666657"/>
    <n v="0"/>
    <n v="1058123"/>
    <x v="2"/>
    <n v="0"/>
    <n v="0"/>
    <n v="0"/>
    <n v="0"/>
  </r>
  <r>
    <n v="88"/>
    <x v="2"/>
    <s v="P1226219"/>
    <s v="BOTTLE WN 150ML BLUE"/>
    <x v="3"/>
    <n v="28378"/>
    <n v="768.66666666667106"/>
    <n v="886.54236928420812"/>
    <n v="748.51412309473608"/>
    <n v="1308"/>
    <n v="288"/>
    <n v="84"/>
    <n v="249"/>
    <n v="180"/>
    <n v="120"/>
    <n v="12"/>
    <n v="75"/>
    <n v="1845"/>
    <n v="73.946500529816461"/>
    <n v="732.8276770210482"/>
    <n v="0"/>
    <n v="732.8276770210482"/>
    <n v="732"/>
    <n v="74.966827198224678"/>
    <n v="20772696"/>
    <n v="21813222.666666791"/>
    <n v="25158299.355547257"/>
    <n v="21241333.78518242"/>
    <n v="5108040"/>
    <n v="52357410"/>
    <n v="25541"/>
    <n v="18696012"/>
    <n v="19632515.333333444"/>
    <n v="22643178.653887961"/>
    <n v="19117799.217962652"/>
    <n v="4597380"/>
    <n v="47123145"/>
    <x v="1"/>
    <n v="732"/>
    <n v="0"/>
    <n v="0"/>
    <n v="0"/>
  </r>
  <r>
    <n v="89"/>
    <x v="2"/>
    <s v="P1226220"/>
    <s v="BOTTLE WN 150ML PINK"/>
    <x v="3"/>
    <n v="28378"/>
    <n v="580.66666666666731"/>
    <n v="717.96740713978829"/>
    <n v="553.65580237992936"/>
    <n v="1105"/>
    <n v="216"/>
    <n v="72"/>
    <n v="218"/>
    <n v="168"/>
    <n v="72"/>
    <n v="12"/>
    <n v="75"/>
    <n v="1539"/>
    <n v="83.391160720315625"/>
    <n v="395.10691308961168"/>
    <n v="0"/>
    <n v="395.10691308961168"/>
    <n v="396"/>
    <n v="75.048392172892392"/>
    <n v="11237688"/>
    <n v="16478158.666666685"/>
    <n v="20374479.07981291"/>
    <n v="15711644.359937634"/>
    <n v="4767504"/>
    <n v="43673742"/>
    <n v="25541"/>
    <n v="10114236"/>
    <n v="14830807.333333351"/>
    <n v="18337605.545757331"/>
    <n v="14140922.848585775"/>
    <n v="4290888"/>
    <n v="39307599"/>
    <x v="1"/>
    <n v="396"/>
    <n v="0"/>
    <n v="0"/>
    <n v="0"/>
  </r>
  <r>
    <n v="90"/>
    <x v="2"/>
    <s v="P1226221"/>
    <s v="BOTTLE WN 150ML WHITE"/>
    <x v="3"/>
    <n v="28378"/>
    <n v="506"/>
    <n v="662.01100853146318"/>
    <n v="484.3370028438211"/>
    <n v="1028"/>
    <n v="192"/>
    <n v="72"/>
    <n v="254"/>
    <n v="108"/>
    <n v="96"/>
    <n v="12"/>
    <n v="75"/>
    <n v="1474"/>
    <n v="91.300065327156389"/>
    <n v="290.85351564101597"/>
    <n v="0"/>
    <n v="290.85351564101597"/>
    <n v="288"/>
    <n v="74.823252262932954"/>
    <n v="8172864"/>
    <n v="14359268"/>
    <n v="18786548.400105864"/>
    <n v="13744515.466701955"/>
    <n v="3064824"/>
    <n v="41829172"/>
    <n v="25541"/>
    <n v="7355808"/>
    <n v="12923746"/>
    <n v="16908423.168902099"/>
    <n v="12370451.389634036"/>
    <n v="2758428"/>
    <n v="37647434"/>
    <x v="1"/>
    <n v="288"/>
    <n v="0"/>
    <n v="0"/>
    <n v="0"/>
  </r>
  <r>
    <n v="91"/>
    <x v="2"/>
    <s v="P1226224"/>
    <s v="BPE04 PORTABLE BREAST PUMP"/>
    <x v="3"/>
    <n v="297297"/>
    <n v="695.00000000000045"/>
    <n v="796.95063614546552"/>
    <n v="672.3168787151551"/>
    <n v="1351"/>
    <n v="168"/>
    <n v="48"/>
    <n v="265"/>
    <n v="132"/>
    <n v="156"/>
    <n v="12"/>
    <n v="75"/>
    <n v="1784"/>
    <n v="79.605319596141172"/>
    <n v="561.74283293335338"/>
    <n v="0"/>
    <n v="561.74283293335338"/>
    <n v="564"/>
    <n v="75.100718893342105"/>
    <n v="167675508"/>
    <n v="206621415.00000015"/>
    <n v="236931033.27413845"/>
    <n v="199877791.09137946"/>
    <n v="39243204"/>
    <n v="530377848"/>
    <n v="267568"/>
    <n v="150908352"/>
    <n v="185959760.00000012"/>
    <n v="213238487.81216991"/>
    <n v="179890482.60405663"/>
    <n v="35318976"/>
    <n v="477341312"/>
    <x v="1"/>
    <n v="564"/>
    <n v="0"/>
    <n v="0"/>
    <n v="0"/>
  </r>
  <r>
    <n v="92"/>
    <x v="2"/>
    <s v="P1226225"/>
    <s v="WN02B BOTTLE WN 260ML BLUE"/>
    <x v="3"/>
    <n v="29459"/>
    <n v="687.00000000000023"/>
    <n v="731.21940950930025"/>
    <n v="651.07313650310005"/>
    <n v="664"/>
    <n v="16"/>
    <n v="132"/>
    <n v="1"/>
    <n v="1054"/>
    <n v="612"/>
    <n v="12"/>
    <n v="75"/>
    <n v="681"/>
    <n v="31.378963214070072"/>
    <n v="623.90225076705065"/>
    <n v="0"/>
    <n v="623.90225076705065"/>
    <n v="624"/>
    <n v="75.004504066938225"/>
    <n v="18382416"/>
    <n v="20238333.000000007"/>
    <n v="21540992.584734477"/>
    <n v="19179963.528244823"/>
    <n v="31049786"/>
    <n v="20061579"/>
    <n v="26514"/>
    <n v="16544736"/>
    <n v="18215118.000000007"/>
    <n v="19387551.423729587"/>
    <n v="17262553.141243193"/>
    <n v="27945756"/>
    <n v="18056034"/>
    <x v="1"/>
    <n v="624"/>
    <n v="0"/>
    <n v="0"/>
    <n v="0"/>
  </r>
  <r>
    <n v="93"/>
    <x v="2"/>
    <s v="P1226226"/>
    <s v="WN02P BOTTLE WN 260ML PINK"/>
    <x v="3"/>
    <n v="29459"/>
    <n v="643.00000000000068"/>
    <n v="719.38479698341894"/>
    <n v="631.12826566113949"/>
    <n v="988"/>
    <n v="180"/>
    <n v="84"/>
    <n v="193"/>
    <n v="132"/>
    <n v="192"/>
    <n v="12"/>
    <n v="75"/>
    <n v="1361"/>
    <n v="64.693664064036909"/>
    <n v="804.20546113626733"/>
    <n v="0"/>
    <n v="804.20546113626733"/>
    <n v="804"/>
    <n v="74.990233626944956"/>
    <n v="23685036"/>
    <n v="18942137.000000019"/>
    <n v="21192356.73433454"/>
    <n v="18592407.578111507"/>
    <n v="3888588"/>
    <n v="40093699"/>
    <n v="26514"/>
    <n v="21317256"/>
    <n v="17048502.000000019"/>
    <n v="19073768.507218368"/>
    <n v="16733734.835739452"/>
    <n v="3499848"/>
    <n v="36085554"/>
    <x v="1"/>
    <n v="804"/>
    <n v="0"/>
    <n v="0"/>
    <n v="0"/>
  </r>
  <r>
    <n v="94"/>
    <x v="2"/>
    <s v="P1226227"/>
    <s v="WN02W BOTTLE WN 260ML WHITE"/>
    <x v="3"/>
    <n v="29459"/>
    <n v="546.66666666666765"/>
    <n v="656.41467269334305"/>
    <n v="520.47155756444761"/>
    <n v="1006"/>
    <n v="156"/>
    <n v="96"/>
    <n v="136"/>
    <n v="144"/>
    <n v="96"/>
    <n v="12"/>
    <n v="75"/>
    <n v="1298"/>
    <n v="74.816768436339075"/>
    <n v="515.59356660446201"/>
    <n v="0"/>
    <n v="515.59356660446201"/>
    <n v="516"/>
    <n v="75.023426836085321"/>
    <n v="15200844"/>
    <n v="16104253.333333362"/>
    <n v="19337319.842873193"/>
    <n v="15332571.614291063"/>
    <n v="4242096"/>
    <n v="38237782"/>
    <n v="26514"/>
    <n v="13681224"/>
    <n v="14494320.000000026"/>
    <n v="17404178.631791297"/>
    <n v="13799782.877263764"/>
    <n v="3818016"/>
    <n v="34415172"/>
    <x v="1"/>
    <n v="516"/>
    <n v="0"/>
    <n v="0"/>
    <n v="0"/>
  </r>
  <r>
    <n v="95"/>
    <x v="2"/>
    <s v="P1226231"/>
    <s v="WN05B BOTTLE BEAR 260 ML"/>
    <x v="3"/>
    <n v="29459"/>
    <n v="0"/>
    <n v="0"/>
    <n v="0"/>
    <n v="0"/>
    <n v="0"/>
    <n v="0"/>
    <n v="0"/>
    <n v="0"/>
    <n v="0"/>
    <n v="12"/>
    <n v="75"/>
    <n v="0"/>
    <n v="0"/>
    <n v="0"/>
    <n v="0"/>
    <n v="0"/>
    <n v="0"/>
    <n v="0"/>
    <n v="0"/>
    <n v="0"/>
    <n v="0"/>
    <n v="0"/>
    <n v="0"/>
    <n v="0"/>
    <n v="26513"/>
    <n v="0"/>
    <n v="0"/>
    <n v="0"/>
    <n v="0"/>
    <n v="0"/>
    <n v="0"/>
    <x v="2"/>
    <n v="0"/>
    <n v="0"/>
    <n v="0"/>
    <n v="0"/>
  </r>
  <r>
    <n v="96"/>
    <x v="2"/>
    <s v="P1226233"/>
    <s v="WN05P BOTTLE ELEPHANT 260 ML"/>
    <x v="3"/>
    <n v="29459"/>
    <n v="7.6666666666666003"/>
    <n v="0"/>
    <n v="4.9999999999999991"/>
    <n v="7"/>
    <n v="0"/>
    <n v="0"/>
    <n v="0"/>
    <n v="0"/>
    <n v="0"/>
    <n v="12"/>
    <n v="75"/>
    <n v="7"/>
    <n v="42.000000000000014"/>
    <n v="5.4999999999999982"/>
    <n v="0"/>
    <n v="0"/>
    <n v="0"/>
    <n v="42.000000000000014"/>
    <n v="0"/>
    <n v="225852.33333333139"/>
    <n v="0"/>
    <n v="147294.99999999997"/>
    <n v="0"/>
    <n v="206213"/>
    <n v="26513"/>
    <n v="0"/>
    <n v="203266.33333333157"/>
    <n v="0"/>
    <n v="132564.99999999997"/>
    <n v="0"/>
    <n v="185591"/>
    <x v="2"/>
    <n v="0"/>
    <n v="0"/>
    <n v="0"/>
    <n v="0"/>
  </r>
  <r>
    <n v="97"/>
    <x v="2"/>
    <s v="P1226234"/>
    <s v="WNS01 BOTTLE SET 150 ML"/>
    <x v="3"/>
    <n v="83514"/>
    <n v="22.333333333333368"/>
    <n v="0"/>
    <n v="12.666666666666668"/>
    <n v="36"/>
    <n v="0"/>
    <n v="0"/>
    <n v="0"/>
    <n v="0"/>
    <n v="12"/>
    <n v="12"/>
    <n v="75"/>
    <n v="36"/>
    <n v="85.263157894736835"/>
    <n v="0"/>
    <n v="12"/>
    <n v="0"/>
    <n v="0"/>
    <n v="85.263157894736835"/>
    <n v="0"/>
    <n v="1865146.0000000028"/>
    <n v="0"/>
    <n v="1057844"/>
    <n v="0"/>
    <n v="3006504"/>
    <n v="75162"/>
    <n v="0"/>
    <n v="1678618.0000000026"/>
    <n v="0"/>
    <n v="952052.00000000012"/>
    <n v="0"/>
    <n v="2705832"/>
    <x v="2"/>
    <n v="-12"/>
    <n v="0"/>
    <n v="0"/>
    <n v="0"/>
  </r>
  <r>
    <n v="98"/>
    <x v="2"/>
    <s v="P1226237"/>
    <s v="BT13Y BATHTUB YELLOW"/>
    <x v="2"/>
    <n v="170811"/>
    <n v="0"/>
    <n v="0"/>
    <n v="0"/>
    <n v="7"/>
    <n v="0"/>
    <n v="0"/>
    <n v="0"/>
    <n v="0"/>
    <n v="0"/>
    <n v="1"/>
    <n v="75"/>
    <n v="7"/>
    <n v="9999"/>
    <n v="0"/>
    <n v="0"/>
    <n v="0"/>
    <n v="0"/>
    <n v="9999"/>
    <n v="0"/>
    <n v="0"/>
    <n v="0"/>
    <n v="0"/>
    <n v="0"/>
    <n v="1195677"/>
    <n v="153730"/>
    <n v="0"/>
    <n v="0"/>
    <n v="0"/>
    <n v="0"/>
    <n v="0"/>
    <n v="1076110"/>
    <x v="2"/>
    <n v="0"/>
    <n v="0"/>
    <n v="0"/>
    <n v="0"/>
  </r>
  <r>
    <n v="99"/>
    <x v="2"/>
    <s v="P1226241"/>
    <s v="RKM105 MANICURE SET"/>
    <x v="3"/>
    <n v="36216"/>
    <n v="929.33333333333303"/>
    <n v="1138.1105811670334"/>
    <n v="956.03686038901151"/>
    <n v="1858"/>
    <n v="312"/>
    <n v="168"/>
    <n v="160"/>
    <n v="216"/>
    <n v="96"/>
    <n v="24"/>
    <n v="75"/>
    <n v="2330"/>
    <n v="73.11433575014847"/>
    <n v="982.2027321395617"/>
    <n v="0"/>
    <n v="982.2027321395617"/>
    <n v="984"/>
    <n v="75.056397444541204"/>
    <n v="35636544"/>
    <n v="33656735.999999993"/>
    <n v="41217812.807545282"/>
    <n v="34623830.935848437"/>
    <n v="7822656"/>
    <n v="84383280"/>
    <n v="32595"/>
    <n v="32073480"/>
    <n v="30291619.999999989"/>
    <n v="37096714.393139452"/>
    <n v="31162021.464379828"/>
    <n v="7040520"/>
    <n v="75946350"/>
    <x v="1"/>
    <n v="984"/>
    <n v="0"/>
    <n v="0"/>
    <n v="0"/>
  </r>
  <r>
    <n v="100"/>
    <x v="2"/>
    <s v="P1226242"/>
    <s v="JP038 TRAINING CUP 360"/>
    <x v="3"/>
    <n v="51351"/>
    <n v="77.3333333333334"/>
    <n v="147.85262387979392"/>
    <n v="109.95087462659798"/>
    <n v="281"/>
    <n v="0"/>
    <n v="48"/>
    <n v="0"/>
    <n v="96"/>
    <n v="144"/>
    <n v="24"/>
    <n v="75"/>
    <n v="281"/>
    <n v="76.670604291497995"/>
    <n v="45.729810446288866"/>
    <n v="96"/>
    <n v="45.729810446288866"/>
    <n v="48"/>
    <n v="75.619419234659361"/>
    <n v="2464848"/>
    <n v="3971144.0000000033"/>
    <n v="7592380.0888512982"/>
    <n v="5646087.362950433"/>
    <n v="4929696"/>
    <n v="14429631"/>
    <n v="46216"/>
    <n v="2218368"/>
    <n v="3574037.3333333363"/>
    <n v="6833156.8652285561"/>
    <n v="5081489.621742852"/>
    <n v="4436736"/>
    <n v="12986696"/>
    <x v="1"/>
    <n v="-48"/>
    <n v="0"/>
    <n v="0"/>
    <n v="0"/>
  </r>
  <r>
    <n v="101"/>
    <x v="2"/>
    <s v="P1226243"/>
    <s v="BPC02 WEARABLE MILK COLLECTOR"/>
    <x v="2"/>
    <n v="94595"/>
    <n v="171"/>
    <n v="257.02882257126572"/>
    <n v="198.67627419042188"/>
    <n v="359"/>
    <n v="60"/>
    <n v="72"/>
    <n v="0"/>
    <n v="156"/>
    <n v="168"/>
    <n v="12"/>
    <n v="75"/>
    <n v="419"/>
    <n v="63.268752402474817"/>
    <n v="178.71950804732046"/>
    <n v="84"/>
    <n v="178.71950804732046"/>
    <n v="180"/>
    <n v="75.193353528180069"/>
    <n v="17027100"/>
    <n v="16175745"/>
    <n v="24313641.471128881"/>
    <n v="18793782.157042958"/>
    <n v="14756820"/>
    <n v="39635305"/>
    <n v="85136"/>
    <n v="15324480"/>
    <n v="14558256"/>
    <n v="21882405.838427279"/>
    <n v="16914503.279475756"/>
    <n v="13281216"/>
    <n v="35671984"/>
    <x v="1"/>
    <n v="96"/>
    <n v="0"/>
    <n v="0"/>
    <n v="0"/>
  </r>
  <r>
    <n v="102"/>
    <x v="2"/>
    <s v="P1226244"/>
    <s v="LB016 SLOW COOKER 2 L"/>
    <x v="3"/>
    <n v="270270"/>
    <n v="3.0000000000000302"/>
    <n v="0"/>
    <n v="3"/>
    <n v="45"/>
    <n v="0"/>
    <n v="0"/>
    <n v="0"/>
    <n v="0"/>
    <n v="0"/>
    <n v="6"/>
    <n v="75"/>
    <n v="45"/>
    <n v="450"/>
    <n v="0"/>
    <n v="0"/>
    <n v="0"/>
    <n v="0"/>
    <n v="450"/>
    <n v="0"/>
    <n v="810810.00000000815"/>
    <n v="0"/>
    <n v="810810"/>
    <n v="0"/>
    <n v="12162150"/>
    <n v="243243"/>
    <n v="0"/>
    <n v="729729.00000000733"/>
    <n v="0"/>
    <n v="729729"/>
    <n v="0"/>
    <n v="10945935"/>
    <x v="2"/>
    <n v="0"/>
    <n v="0"/>
    <n v="0"/>
    <n v="0"/>
  </r>
  <r>
    <n v="103"/>
    <x v="2"/>
    <s v="P1226245"/>
    <s v="LB218 BOTTLE WARMER"/>
    <x v="3"/>
    <n v="140541"/>
    <n v="0"/>
    <n v="0"/>
    <n v="0"/>
    <n v="0"/>
    <n v="0"/>
    <n v="0"/>
    <n v="0"/>
    <n v="0"/>
    <n v="0"/>
    <n v="12"/>
    <n v="75"/>
    <n v="0"/>
    <n v="0"/>
    <n v="0"/>
    <n v="0"/>
    <n v="0"/>
    <n v="0"/>
    <n v="0"/>
    <n v="0"/>
    <n v="0"/>
    <n v="0"/>
    <n v="0"/>
    <n v="0"/>
    <n v="0"/>
    <n v="126487"/>
    <n v="0"/>
    <n v="0"/>
    <n v="0"/>
    <n v="0"/>
    <n v="0"/>
    <n v="0"/>
    <x v="2"/>
    <n v="0"/>
    <n v="0"/>
    <n v="0"/>
    <n v="0"/>
  </r>
  <r>
    <n v="104"/>
    <x v="2"/>
    <s v="P1226246"/>
    <s v="WN09B BOTTLE WITH MILK CASE 260 ML"/>
    <x v="3"/>
    <n v="32432"/>
    <n v="6.0000000000000089"/>
    <n v="23.296131107941299"/>
    <n v="11.4320437026471"/>
    <n v="394"/>
    <n v="0"/>
    <n v="0"/>
    <n v="0"/>
    <n v="0"/>
    <n v="12"/>
    <n v="12"/>
    <n v="75"/>
    <n v="394"/>
    <n v="1033.9358654886062"/>
    <n v="0"/>
    <n v="12"/>
    <n v="0"/>
    <n v="0"/>
    <n v="972.80209523575013"/>
    <n v="0"/>
    <n v="194592.00000000029"/>
    <n v="755540.12409275223"/>
    <n v="370764.04136425076"/>
    <n v="0"/>
    <n v="12778208"/>
    <n v="29189"/>
    <n v="0"/>
    <n v="175134.00000000026"/>
    <n v="679990.77090969856"/>
    <n v="333689.92363656621"/>
    <n v="0"/>
    <n v="11500466"/>
    <x v="1"/>
    <n v="-12"/>
    <n v="0"/>
    <n v="0"/>
    <n v="0"/>
  </r>
  <r>
    <n v="105"/>
    <x v="2"/>
    <s v="P1226247"/>
    <s v="WN09R BOTTLE WITH MILK CASE 260 ML"/>
    <x v="3"/>
    <n v="32432"/>
    <n v="11.333333333333369"/>
    <n v="38.978377687621901"/>
    <n v="17.326125895873965"/>
    <n v="285"/>
    <n v="0"/>
    <n v="0"/>
    <n v="0"/>
    <n v="0"/>
    <n v="24"/>
    <n v="12"/>
    <n v="75"/>
    <n v="285"/>
    <n v="493.47442419520297"/>
    <n v="0"/>
    <n v="24"/>
    <n v="0"/>
    <n v="0"/>
    <n v="425.98378389533502"/>
    <n v="0"/>
    <n v="367562.66666666785"/>
    <n v="1264146.7451649534"/>
    <n v="561920.91505498439"/>
    <n v="0"/>
    <n v="9243120"/>
    <n v="29189"/>
    <n v="0"/>
    <n v="330808.66666666773"/>
    <n v="1137739.8663239956"/>
    <n v="505732.28877466515"/>
    <n v="0"/>
    <n v="8318865"/>
    <x v="1"/>
    <n v="-24"/>
    <n v="0"/>
    <n v="0"/>
    <n v="0"/>
  </r>
  <r>
    <n v="106"/>
    <x v="2"/>
    <s v="P1226249"/>
    <s v="LB017 SLOW COOKER 1.5L"/>
    <x v="3"/>
    <n v="313514"/>
    <n v="982.6666666666606"/>
    <n v="1203.5303587288313"/>
    <n v="920.17678624294376"/>
    <n v="1560"/>
    <n v="198"/>
    <n v="48"/>
    <n v="790"/>
    <n v="144"/>
    <n v="234"/>
    <n v="6"/>
    <n v="75"/>
    <n v="2548"/>
    <n v="83.070993686009402"/>
    <n v="811.97232433619092"/>
    <n v="0"/>
    <n v="500"/>
    <n v="498"/>
    <n v="64.76373902177653"/>
    <n v="156129972"/>
    <n v="308079757.33333141"/>
    <n v="377323616.88651079"/>
    <n v="288488304.96217024"/>
    <n v="45146016"/>
    <n v="798833672"/>
    <n v="282162"/>
    <n v="140516676"/>
    <n v="277271191.99999827"/>
    <n v="339590533.0796445"/>
    <n v="259638922.35988149"/>
    <n v="40631328"/>
    <n v="718948776"/>
    <x v="1"/>
    <n v="498"/>
    <n v="0"/>
    <n v="0"/>
    <n v="0"/>
  </r>
  <r>
    <n v="107"/>
    <x v="2"/>
    <s v="P1226250"/>
    <s v="LBW01 TWIN BOTTLE WARMER"/>
    <x v="3"/>
    <n v="198378"/>
    <n v="533.33333333333371"/>
    <n v="0"/>
    <n v="337.66666666666674"/>
    <n v="407"/>
    <n v="24"/>
    <n v="0"/>
    <n v="4"/>
    <n v="0"/>
    <n v="108"/>
    <n v="12"/>
    <n v="75"/>
    <n v="435"/>
    <n v="38.647581441263561"/>
    <n v="409.16666666666686"/>
    <n v="104"/>
    <n v="0"/>
    <n v="0"/>
    <n v="38.647581441263561"/>
    <n v="0"/>
    <n v="105801600.00000007"/>
    <n v="0"/>
    <n v="66985638.000000015"/>
    <n v="0"/>
    <n v="86294430"/>
    <n v="178540"/>
    <n v="0"/>
    <n v="95221333.333333403"/>
    <n v="0"/>
    <n v="60287006.666666679"/>
    <n v="0"/>
    <n v="77664900"/>
    <x v="2"/>
    <n v="-104"/>
    <n v="104"/>
    <n v="104"/>
    <n v="116"/>
  </r>
  <r>
    <n v="108"/>
    <x v="2"/>
    <s v="P1226251"/>
    <s v="SWN01 SILICONE WEIGHTED STRAW"/>
    <x v="3"/>
    <n v="20811"/>
    <n v="5.6666666666666998"/>
    <n v="0"/>
    <n v="4.666666666666667"/>
    <n v="20"/>
    <n v="0"/>
    <n v="0"/>
    <n v="0"/>
    <n v="0"/>
    <n v="0"/>
    <n v="12"/>
    <n v="75"/>
    <n v="20"/>
    <n v="128.57142857142856"/>
    <n v="0"/>
    <n v="0"/>
    <n v="0"/>
    <n v="0"/>
    <n v="128.57142857142856"/>
    <n v="0"/>
    <n v="117929.00000000068"/>
    <n v="0"/>
    <n v="97118"/>
    <n v="0"/>
    <n v="416220"/>
    <n v="18730"/>
    <n v="0"/>
    <n v="106136.66666666728"/>
    <n v="0"/>
    <n v="87406.666666666672"/>
    <n v="0"/>
    <n v="374600"/>
    <x v="2"/>
    <n v="0"/>
    <n v="0"/>
    <n v="0"/>
    <n v="0"/>
  </r>
  <r>
    <n v="109"/>
    <x v="2"/>
    <s v="P1226252"/>
    <s v="JS03BLUE BOTTLE 150ML"/>
    <x v="3"/>
    <n v="16216"/>
    <n v="1371.0000000000043"/>
    <n v="1578.1400988189785"/>
    <n v="1322.0466996063262"/>
    <n v="2171"/>
    <n v="348"/>
    <n v="168"/>
    <n v="903"/>
    <n v="264"/>
    <n v="132"/>
    <n v="12"/>
    <n v="75"/>
    <n v="3422"/>
    <n v="77.652325012852941"/>
    <n v="1197.2568478347939"/>
    <n v="0"/>
    <n v="1197.2568478347939"/>
    <n v="1200"/>
    <n v="75.062247850231529"/>
    <n v="19459200"/>
    <n v="22232136.000000071"/>
    <n v="25591119.842448555"/>
    <n v="21438309.280816186"/>
    <n v="4281024"/>
    <n v="55491152"/>
    <n v="14595"/>
    <n v="17514000"/>
    <n v="20009745.000000063"/>
    <n v="23032954.742262989"/>
    <n v="19295271.580754332"/>
    <n v="3853080"/>
    <n v="49944090"/>
    <x v="1"/>
    <n v="1200"/>
    <n v="0"/>
    <n v="0"/>
    <n v="0"/>
  </r>
  <r>
    <n v="110"/>
    <x v="2"/>
    <s v="P1226253"/>
    <s v="JS03PINK BOTTLE 150ML"/>
    <x v="3"/>
    <n v="16216"/>
    <n v="1168.3333333333387"/>
    <n v="1347.0526688474572"/>
    <n v="1137.3508896158191"/>
    <n v="1853"/>
    <n v="252"/>
    <n v="156"/>
    <n v="818"/>
    <n v="192"/>
    <n v="192"/>
    <n v="12"/>
    <n v="75"/>
    <n v="2923"/>
    <n v="77.100216653121379"/>
    <n v="1075.4298928870048"/>
    <n v="0"/>
    <n v="1075.4298928870048"/>
    <n v="1080"/>
    <n v="75.120546099397842"/>
    <n v="17513280"/>
    <n v="18945693.333333421"/>
    <n v="21843806.078030366"/>
    <n v="18443282.026010122"/>
    <n v="3113472"/>
    <n v="47399368"/>
    <n v="14595"/>
    <n v="15762600"/>
    <n v="17051825.000000078"/>
    <n v="19660233.701828636"/>
    <n v="16599636.233942881"/>
    <n v="2802240"/>
    <n v="42661185"/>
    <x v="1"/>
    <n v="1080"/>
    <n v="0"/>
    <n v="0"/>
    <n v="0"/>
  </r>
  <r>
    <n v="111"/>
    <x v="2"/>
    <s v="P1226254"/>
    <s v="JS03GREEN BOTTLE 150ML"/>
    <x v="3"/>
    <n v="16216"/>
    <n v="1128.3333333333353"/>
    <n v="1343.3819165510795"/>
    <n v="1086.1273055170259"/>
    <n v="1880"/>
    <n v="252"/>
    <n v="144"/>
    <n v="346"/>
    <n v="673"/>
    <n v="156"/>
    <n v="12"/>
    <n v="75"/>
    <n v="2478"/>
    <n v="68.445015259617435"/>
    <n v="907.70018034364421"/>
    <n v="0"/>
    <n v="907.70018034364421"/>
    <n v="912"/>
    <n v="75.118765626308672"/>
    <n v="14788992"/>
    <n v="18297053.333333366"/>
    <n v="21784281.158792306"/>
    <n v="17612640.386264093"/>
    <n v="10913368"/>
    <n v="40183248"/>
    <n v="14595"/>
    <n v="13310640"/>
    <n v="16468025.000000028"/>
    <n v="19606659.072063006"/>
    <n v="15852028.024020992"/>
    <n v="9822435"/>
    <n v="36166410"/>
    <x v="1"/>
    <n v="912"/>
    <n v="0"/>
    <n v="0"/>
    <n v="0"/>
  </r>
  <r>
    <n v="112"/>
    <x v="2"/>
    <s v="P1226255"/>
    <s v="JS03ORANGE BOTTLE 150ML"/>
    <x v="3"/>
    <n v="14865"/>
    <n v="7.3333333333333393"/>
    <n v="0"/>
    <n v="6"/>
    <n v="0"/>
    <n v="0"/>
    <n v="0"/>
    <n v="0"/>
    <n v="0"/>
    <n v="0"/>
    <n v="12"/>
    <n v="75"/>
    <n v="0"/>
    <n v="0"/>
    <n v="15"/>
    <n v="0"/>
    <n v="0"/>
    <n v="0"/>
    <n v="0"/>
    <n v="0"/>
    <n v="109010.00000000009"/>
    <n v="0"/>
    <n v="89190"/>
    <n v="0"/>
    <n v="0"/>
    <n v="13379"/>
    <n v="0"/>
    <n v="98112.666666666744"/>
    <n v="0"/>
    <n v="80274"/>
    <n v="0"/>
    <n v="0"/>
    <x v="2"/>
    <n v="0"/>
    <n v="0"/>
    <n v="0"/>
    <n v="0"/>
  </r>
  <r>
    <n v="113"/>
    <x v="2"/>
    <s v="P1226256"/>
    <s v="JS04BLUE BOTTLE 260ML"/>
    <x v="3"/>
    <n v="17027"/>
    <n v="1659.3333333333437"/>
    <n v="2025.2199882841235"/>
    <n v="1572.7399960947075"/>
    <n v="2765"/>
    <n v="276"/>
    <n v="156"/>
    <n v="1189"/>
    <n v="480"/>
    <n v="264"/>
    <n v="12"/>
    <n v="75"/>
    <n v="4230"/>
    <n v="80.68720851196457"/>
    <n v="1247.0699785208926"/>
    <n v="0"/>
    <n v="1247.0699785208926"/>
    <n v="1248"/>
    <n v="75.017740150592289"/>
    <n v="21249696"/>
    <n v="28253468.666666843"/>
    <n v="34483420.740513772"/>
    <n v="26779043.913504586"/>
    <n v="8172960"/>
    <n v="72024210"/>
    <n v="15324"/>
    <n v="19124352"/>
    <n v="25427624.00000016"/>
    <n v="31034471.100465909"/>
    <n v="24100667.700155299"/>
    <n v="7355520"/>
    <n v="64820520"/>
    <x v="1"/>
    <n v="1248"/>
    <n v="0"/>
    <n v="0"/>
    <n v="0"/>
  </r>
  <r>
    <n v="114"/>
    <x v="2"/>
    <s v="P1226257"/>
    <s v="JS04PINK BOTTLE 260ML"/>
    <x v="3"/>
    <n v="17027"/>
    <n v="1454.9999999999961"/>
    <n v="1713.4422024129863"/>
    <n v="1360.8140674709955"/>
    <n v="2307"/>
    <n v="324"/>
    <n v="168"/>
    <n v="893"/>
    <n v="348"/>
    <n v="288"/>
    <n v="12"/>
    <n v="75"/>
    <n v="3524"/>
    <n v="77.688791236906667"/>
    <n v="1243.4773710904756"/>
    <n v="0"/>
    <n v="1243.4773710904756"/>
    <n v="1248"/>
    <n v="75.099704192166314"/>
    <n v="21249696"/>
    <n v="24774284.999999933"/>
    <n v="29174780.380485918"/>
    <n v="23170581.126828641"/>
    <n v="5925396"/>
    <n v="60003148"/>
    <n v="15324"/>
    <n v="19124352"/>
    <n v="22296419.99999994"/>
    <n v="26256788.3097766"/>
    <n v="20853114.769925535"/>
    <n v="5332752"/>
    <n v="54001776"/>
    <x v="1"/>
    <n v="1248"/>
    <n v="0"/>
    <n v="0"/>
    <n v="0"/>
  </r>
  <r>
    <n v="115"/>
    <x v="2"/>
    <s v="P1226258"/>
    <s v="JS04GREEN BOTTLE 260ML"/>
    <x v="3"/>
    <n v="17027"/>
    <n v="1514.9999999999964"/>
    <n v="1764.1370309939769"/>
    <n v="1343.7123436646589"/>
    <n v="2484"/>
    <n v="348"/>
    <n v="120"/>
    <n v="1112"/>
    <n v="216"/>
    <n v="156"/>
    <n v="12"/>
    <n v="75"/>
    <n v="3944"/>
    <n v="88.05456060432553"/>
    <n v="963.41789015562426"/>
    <n v="0"/>
    <n v="963.41789015562426"/>
    <n v="960"/>
    <n v="74.92369147671215"/>
    <n v="16345920"/>
    <n v="25795904.999999937"/>
    <n v="30037961.226734444"/>
    <n v="22879390.075578146"/>
    <n v="3677832"/>
    <n v="67154488"/>
    <n v="15324"/>
    <n v="14711040"/>
    <n v="23215859.999999944"/>
    <n v="27033635.8629517"/>
    <n v="20591047.954317231"/>
    <n v="3309984"/>
    <n v="60437856"/>
    <x v="1"/>
    <n v="960"/>
    <n v="0"/>
    <n v="0"/>
    <n v="0"/>
  </r>
  <r>
    <n v="116"/>
    <x v="2"/>
    <s v="P1226259"/>
    <s v="JS04ORANGE BOTTLE 260ML"/>
    <x v="3"/>
    <n v="15459"/>
    <n v="4.3333333333333304"/>
    <n v="0"/>
    <n v="4"/>
    <n v="0"/>
    <n v="0"/>
    <n v="0"/>
    <n v="0"/>
    <n v="0"/>
    <n v="0"/>
    <n v="12"/>
    <n v="75"/>
    <n v="0"/>
    <n v="0"/>
    <n v="10"/>
    <n v="0"/>
    <n v="0"/>
    <n v="0"/>
    <n v="0"/>
    <n v="0"/>
    <n v="66988.999999999956"/>
    <n v="0"/>
    <n v="61836"/>
    <n v="0"/>
    <n v="0"/>
    <n v="13913"/>
    <n v="0"/>
    <n v="60289.666666666628"/>
    <n v="0"/>
    <n v="55652"/>
    <n v="0"/>
    <n v="0"/>
    <x v="2"/>
    <n v="0"/>
    <n v="0"/>
    <n v="0"/>
    <n v="0"/>
  </r>
  <r>
    <n v="117"/>
    <x v="2"/>
    <s v="P1226260"/>
    <s v="JS05BLUE BOTTLE HANDLE 260ML"/>
    <x v="3"/>
    <n v="19459"/>
    <n v="1476"/>
    <n v="1731.8091542622749"/>
    <n v="1431.6030514207584"/>
    <n v="2497"/>
    <n v="372"/>
    <n v="144"/>
    <n v="902"/>
    <n v="252"/>
    <n v="228"/>
    <n v="12"/>
    <n v="75"/>
    <n v="3771"/>
    <n v="79.023301806829053"/>
    <n v="1287.8167828141713"/>
    <n v="0"/>
    <n v="1287.8167828141713"/>
    <n v="1284"/>
    <n v="74.920017295079461"/>
    <n v="24985356"/>
    <n v="28721484"/>
    <n v="33699274.332789607"/>
    <n v="27857563.777596537"/>
    <n v="4903668"/>
    <n v="73379889"/>
    <n v="17514"/>
    <n v="22487976"/>
    <n v="25850664"/>
    <n v="30330905.527749483"/>
    <n v="25073095.842583165"/>
    <n v="4413528"/>
    <n v="66045294"/>
    <x v="1"/>
    <n v="1284"/>
    <n v="0"/>
    <n v="0"/>
    <n v="0"/>
  </r>
  <r>
    <n v="118"/>
    <x v="2"/>
    <s v="P1226261"/>
    <s v="JS05PINK BOTTLE HANDLE 260ML"/>
    <x v="3"/>
    <n v="19459"/>
    <n v="1385.6666666666686"/>
    <n v="1614.7171781813536"/>
    <n v="1312.2390593937846"/>
    <n v="2317"/>
    <n v="372"/>
    <n v="144"/>
    <n v="841"/>
    <n v="204"/>
    <n v="168"/>
    <n v="12"/>
    <n v="75"/>
    <n v="3530"/>
    <n v="80.701758754934986"/>
    <n v="1161.3148266658154"/>
    <n v="0"/>
    <n v="1161.3148266658154"/>
    <n v="1164"/>
    <n v="75.061387595079481"/>
    <n v="22650276"/>
    <n v="26963687.666666705"/>
    <n v="31420781.570230961"/>
    <n v="25534859.856743656"/>
    <n v="3969636"/>
    <n v="68690270"/>
    <n v="17514"/>
    <n v="20386296"/>
    <n v="24268566.000000034"/>
    <n v="28280156.658668227"/>
    <n v="22982554.886222742"/>
    <n v="3572856"/>
    <n v="61824420"/>
    <x v="1"/>
    <n v="1164"/>
    <n v="0"/>
    <n v="0"/>
    <n v="0"/>
  </r>
  <r>
    <n v="119"/>
    <x v="2"/>
    <s v="P1226262"/>
    <s v="JS05GREEN BOTTLE HANDLE 260ML"/>
    <x v="3"/>
    <n v="19459"/>
    <n v="1222.6666666666626"/>
    <n v="1413.5521956859964"/>
    <n v="1159.8507318953323"/>
    <n v="2036"/>
    <n v="336"/>
    <n v="156"/>
    <n v="663"/>
    <n v="228"/>
    <n v="168"/>
    <n v="12"/>
    <n v="75"/>
    <n v="3035"/>
    <n v="78.501480833842834"/>
    <n v="1050.1790254243269"/>
    <n v="0"/>
    <n v="1050.1790254243269"/>
    <n v="1056"/>
    <n v="75.150561820127336"/>
    <n v="20548704"/>
    <n v="23791870.66666659"/>
    <n v="27506312.175853804"/>
    <n v="22569535.39195127"/>
    <n v="4436652"/>
    <n v="59058065"/>
    <n v="17514"/>
    <n v="18494784"/>
    <n v="21413783.999999929"/>
    <n v="24756953.15524454"/>
    <n v="20313625.718414851"/>
    <n v="3993192"/>
    <n v="53154990"/>
    <x v="1"/>
    <n v="1056"/>
    <n v="0"/>
    <n v="0"/>
    <n v="0"/>
  </r>
  <r>
    <n v="120"/>
    <x v="2"/>
    <s v="P1226263"/>
    <s v="JS05ORANGE BOTTLE HANDLE 260ML"/>
    <x v="3"/>
    <n v="18108"/>
    <n v="5.3333333333333997"/>
    <n v="0"/>
    <n v="4.333333333333333"/>
    <n v="0"/>
    <n v="0"/>
    <n v="0"/>
    <n v="0"/>
    <n v="0"/>
    <n v="0"/>
    <n v="12"/>
    <n v="75"/>
    <n v="0"/>
    <n v="0"/>
    <n v="10.833333333333332"/>
    <n v="0"/>
    <n v="0"/>
    <n v="0"/>
    <n v="0"/>
    <n v="0"/>
    <n v="96576.000000001208"/>
    <n v="0"/>
    <n v="78468"/>
    <n v="0"/>
    <n v="0"/>
    <n v="16297"/>
    <n v="0"/>
    <n v="86917.33333333442"/>
    <n v="0"/>
    <n v="70620.333333333328"/>
    <n v="0"/>
    <n v="0"/>
    <x v="2"/>
    <n v="0"/>
    <n v="0"/>
    <n v="0"/>
    <n v="0"/>
  </r>
  <r>
    <n v="121"/>
    <x v="2"/>
    <s v="P1226265"/>
    <s v="WN10B CUP WEIGHTED STRAW"/>
    <x v="1"/>
    <n v="37027"/>
    <n v="210.66666666666751"/>
    <n v="254.54014724182406"/>
    <n v="230.84671574727471"/>
    <n v="441"/>
    <n v="0"/>
    <n v="60"/>
    <n v="15"/>
    <n v="141"/>
    <n v="156"/>
    <n v="12"/>
    <n v="75"/>
    <n v="456"/>
    <n v="59.260102339842369"/>
    <n v="234.65693661001092"/>
    <n v="60"/>
    <n v="234.65693661001092"/>
    <n v="240"/>
    <n v="75.694365094953994"/>
    <n v="8886480"/>
    <n v="7800354.6666666977"/>
    <n v="9424858.0319230203"/>
    <n v="8547561.3439743407"/>
    <n v="5220807"/>
    <n v="16884312"/>
    <n v="33324"/>
    <n v="7997760"/>
    <n v="7020256.0000000279"/>
    <n v="8482295.8666865453"/>
    <n v="7692735.9555621827"/>
    <n v="4698684"/>
    <n v="15195744"/>
    <x v="1"/>
    <n v="180"/>
    <n v="0"/>
    <n v="0"/>
    <n v="12"/>
  </r>
  <r>
    <n v="122"/>
    <x v="2"/>
    <s v="P1226266"/>
    <s v="WN10P CUP WEIGHTED STRAW"/>
    <x v="1"/>
    <n v="37027"/>
    <n v="127.66666666666616"/>
    <n v="251.50454634964049"/>
    <n v="146.50151544988017"/>
    <n v="89"/>
    <n v="0"/>
    <n v="60"/>
    <n v="0"/>
    <n v="504"/>
    <n v="288"/>
    <n v="12"/>
    <n v="75"/>
    <n v="89"/>
    <n v="18.225067445895718"/>
    <n v="24.758334974340869"/>
    <n v="0"/>
    <n v="24.758334974340869"/>
    <n v="24"/>
    <n v="74.844711167933212"/>
    <n v="888648"/>
    <n v="4727113.6666666484"/>
    <n v="9312458.8376881387"/>
    <n v="5424511.6125627132"/>
    <n v="18661608"/>
    <n v="3295403"/>
    <n v="33324"/>
    <n v="799776"/>
    <n v="4254363.9999999832"/>
    <n v="8381137.5025554197"/>
    <n v="4882016.5008518072"/>
    <n v="16795296"/>
    <n v="2965836"/>
    <x v="1"/>
    <n v="24"/>
    <n v="0"/>
    <n v="0"/>
    <n v="0"/>
  </r>
  <r>
    <n v="123"/>
    <x v="2"/>
    <s v="P1226267"/>
    <s v="WN10G CUP WEIGHTED STRAW"/>
    <x v="1"/>
    <n v="37027"/>
    <n v="216.00000000000017"/>
    <n v="272.22100553396649"/>
    <n v="234.07366851132218"/>
    <n v="367"/>
    <n v="7"/>
    <n v="72"/>
    <n v="0"/>
    <n v="216"/>
    <n v="192"/>
    <n v="12"/>
    <n v="75"/>
    <n v="374"/>
    <n v="47.933627354831188"/>
    <n v="267.40517681227197"/>
    <n v="48"/>
    <n v="267.40517681227197"/>
    <n v="264"/>
    <n v="74.563576266318833"/>
    <n v="9775128"/>
    <n v="7997832.0000000065"/>
    <n v="10079527.171906177"/>
    <n v="8667045.7239687257"/>
    <n v="7997832"/>
    <n v="13848098"/>
    <n v="33324"/>
    <n v="8797536"/>
    <n v="7197984.0000000056"/>
    <n v="9071492.788413899"/>
    <n v="7800270.9294713"/>
    <n v="7197984"/>
    <n v="12463176"/>
    <x v="1"/>
    <n v="216"/>
    <n v="0"/>
    <n v="0"/>
    <n v="0"/>
  </r>
  <r>
    <n v="124"/>
    <x v="2"/>
    <s v="P1226268"/>
    <s v="BPE05 WEARABLE BREAST PUMP"/>
    <x v="3"/>
    <n v="378378"/>
    <n v="244.33333333333428"/>
    <n v="0"/>
    <n v="152"/>
    <n v="413"/>
    <n v="2"/>
    <n v="0"/>
    <n v="0"/>
    <n v="0"/>
    <n v="120"/>
    <n v="24"/>
    <n v="75"/>
    <n v="415"/>
    <n v="81.907894736842096"/>
    <n v="0"/>
    <n v="120"/>
    <n v="0"/>
    <n v="0"/>
    <n v="81.907894736842096"/>
    <n v="0"/>
    <n v="92450358.000000358"/>
    <n v="0"/>
    <n v="57513456"/>
    <n v="0"/>
    <n v="157026870"/>
    <n v="340540"/>
    <n v="0"/>
    <n v="83205273.333333656"/>
    <n v="0"/>
    <n v="51762080"/>
    <n v="0"/>
    <n v="141324100"/>
    <x v="2"/>
    <n v="-120"/>
    <n v="0"/>
    <n v="0"/>
    <n v="0"/>
  </r>
  <r>
    <n v="125"/>
    <x v="2"/>
    <s v="P1226269"/>
    <s v="FP02P BOWL WITH SUCTION PINK"/>
    <x v="1"/>
    <n v="23514"/>
    <n v="10.33333333333335"/>
    <n v="0"/>
    <n v="9.3333333333333339"/>
    <n v="286"/>
    <n v="0"/>
    <n v="0"/>
    <n v="24"/>
    <n v="0"/>
    <n v="0"/>
    <n v="48"/>
    <n v="75"/>
    <n v="310"/>
    <n v="996.42857142857144"/>
    <n v="0"/>
    <n v="0"/>
    <n v="0"/>
    <n v="0"/>
    <n v="996.42857142857144"/>
    <n v="0"/>
    <n v="242978.00000000038"/>
    <n v="0"/>
    <n v="219464"/>
    <n v="0"/>
    <n v="7289340"/>
    <n v="21163"/>
    <n v="0"/>
    <n v="218684.33333333369"/>
    <n v="0"/>
    <n v="197521.33333333334"/>
    <n v="0"/>
    <n v="6560530"/>
    <x v="2"/>
    <n v="0"/>
    <n v="0"/>
    <n v="0"/>
    <n v="0"/>
  </r>
  <r>
    <n v="126"/>
    <x v="2"/>
    <s v="P1226270"/>
    <s v="FP02B BOWL WITH SUCTION BIRU"/>
    <x v="1"/>
    <n v="23514"/>
    <n v="42.666666666666309"/>
    <n v="0"/>
    <n v="36.666666666666657"/>
    <n v="779"/>
    <n v="0"/>
    <n v="0"/>
    <n v="48"/>
    <n v="0"/>
    <n v="0"/>
    <n v="48"/>
    <n v="75"/>
    <n v="827"/>
    <n v="676.63636363636385"/>
    <n v="0"/>
    <n v="0"/>
    <n v="0"/>
    <n v="0"/>
    <n v="676.63636363636385"/>
    <n v="0"/>
    <n v="1003263.9999999916"/>
    <n v="0"/>
    <n v="862179.99999999977"/>
    <n v="0"/>
    <n v="19446078"/>
    <n v="21163"/>
    <n v="0"/>
    <n v="902954.66666665906"/>
    <n v="0"/>
    <n v="775976.66666666651"/>
    <n v="0"/>
    <n v="17501801"/>
    <x v="2"/>
    <n v="0"/>
    <n v="0"/>
    <n v="0"/>
    <n v="0"/>
  </r>
  <r>
    <n v="127"/>
    <x v="2"/>
    <s v="P1226271"/>
    <s v="KOM01 BREASTCARE THERMOPADS"/>
    <x v="3"/>
    <n v="51622"/>
    <n v="1119.3333333333303"/>
    <n v="1295.696440230588"/>
    <n v="1116.898813410196"/>
    <n v="1730"/>
    <n v="400"/>
    <n v="120"/>
    <n v="744"/>
    <n v="280"/>
    <n v="560"/>
    <n v="40"/>
    <n v="75"/>
    <n v="2874"/>
    <n v="77.1958918433684"/>
    <n v="933.94347375607822"/>
    <n v="0"/>
    <n v="933.94347375607822"/>
    <n v="920"/>
    <n v="74.625477073070613"/>
    <n v="47492240"/>
    <n v="57782225.333333179"/>
    <n v="66886441.637583412"/>
    <n v="57656550.54586114"/>
    <n v="14454160"/>
    <n v="148361628"/>
    <n v="46459"/>
    <n v="42742280"/>
    <n v="52003107.333333194"/>
    <n v="60196760.916672885"/>
    <n v="51890001.972224295"/>
    <n v="13008520"/>
    <n v="133523166"/>
    <x v="1"/>
    <n v="920"/>
    <n v="0"/>
    <n v="0"/>
    <n v="0"/>
  </r>
  <r>
    <n v="128"/>
    <x v="2"/>
    <s v="P1226272"/>
    <s v="NAS04 PICKER EAR WITH LIGHT"/>
    <x v="3"/>
    <n v="26757"/>
    <n v="1085.333333333336"/>
    <n v="1376.081316664234"/>
    <n v="995.36043888807808"/>
    <n v="2389"/>
    <n v="160"/>
    <n v="80"/>
    <n v="700"/>
    <n v="100"/>
    <n v="200"/>
    <n v="20"/>
    <n v="75"/>
    <n v="3249"/>
    <n v="97.924325894330508"/>
    <n v="515.48241388442875"/>
    <n v="0"/>
    <n v="515.48241388442875"/>
    <n v="520"/>
    <n v="75.136159302873764"/>
    <n v="13913640"/>
    <n v="29040264.000000071"/>
    <n v="36819807.789984912"/>
    <n v="26632859.263328306"/>
    <n v="2675700"/>
    <n v="86933493"/>
    <n v="24081"/>
    <n v="12522120"/>
    <n v="26135912.000000063"/>
    <n v="33137414.18659142"/>
    <n v="23969274.728863809"/>
    <n v="2408100"/>
    <n v="78239169"/>
    <x v="1"/>
    <n v="520"/>
    <n v="0"/>
    <n v="0"/>
    <n v="0"/>
  </r>
  <r>
    <n v="129"/>
    <x v="2"/>
    <s v="P1226273"/>
    <s v="BS40B HEATINDICTR SPOON&amp;FORK BIRU"/>
    <x v="1"/>
    <n v="13784"/>
    <n v="5.9999999999999005"/>
    <n v="0"/>
    <n v="2.333333333333333"/>
    <n v="28"/>
    <n v="0"/>
    <n v="0"/>
    <n v="10"/>
    <n v="0"/>
    <n v="0"/>
    <n v="45"/>
    <n v="75"/>
    <n v="38"/>
    <n v="488.57142857142867"/>
    <n v="0"/>
    <n v="0"/>
    <n v="0"/>
    <n v="0"/>
    <n v="488.57142857142867"/>
    <n v="0"/>
    <n v="82703.999999998632"/>
    <n v="0"/>
    <n v="32162.666666666664"/>
    <n v="0"/>
    <n v="523792"/>
    <n v="12406"/>
    <n v="0"/>
    <n v="74435.999999998763"/>
    <n v="0"/>
    <n v="28947.333333333328"/>
    <n v="0"/>
    <n v="471428"/>
    <x v="2"/>
    <n v="0"/>
    <n v="0"/>
    <n v="0"/>
    <n v="0"/>
  </r>
  <r>
    <n v="130"/>
    <x v="2"/>
    <s v="P1226274"/>
    <s v="BS40P HEATINDICTR SPOON&amp;FORK PINK"/>
    <x v="1"/>
    <n v="13784"/>
    <n v="18.000000000000099"/>
    <n v="0"/>
    <n v="8.3333333333333321"/>
    <n v="39"/>
    <n v="0"/>
    <n v="0"/>
    <n v="0"/>
    <n v="0"/>
    <n v="0"/>
    <n v="45"/>
    <n v="75"/>
    <n v="39"/>
    <n v="140.4"/>
    <n v="0"/>
    <n v="0"/>
    <n v="0"/>
    <n v="0"/>
    <n v="140.4"/>
    <n v="0"/>
    <n v="248112.00000000137"/>
    <n v="0"/>
    <n v="114866.66666666666"/>
    <n v="0"/>
    <n v="537576"/>
    <n v="12406"/>
    <n v="0"/>
    <n v="223308.00000000122"/>
    <n v="0"/>
    <n v="103383.33333333331"/>
    <n v="0"/>
    <n v="483834"/>
    <x v="2"/>
    <n v="0"/>
    <n v="0"/>
    <n v="0"/>
    <n v="0"/>
  </r>
  <r>
    <n v="131"/>
    <x v="2"/>
    <s v="P1226275"/>
    <s v="CUP01 BABY CUP"/>
    <x v="1"/>
    <n v="8378"/>
    <n v="711.00000000000011"/>
    <n v="1007.973782560808"/>
    <n v="784.32459418693611"/>
    <n v="1338"/>
    <n v="90"/>
    <n v="240"/>
    <n v="466"/>
    <n v="270"/>
    <n v="300"/>
    <n v="30"/>
    <n v="75"/>
    <n v="1894"/>
    <n v="72.444496093995383"/>
    <n v="804.78526802814849"/>
    <n v="0"/>
    <n v="804.78526802814849"/>
    <n v="810"/>
    <n v="75.199460733878581"/>
    <n v="6786180"/>
    <n v="5956758.0000000009"/>
    <n v="8444804.3502944484"/>
    <n v="6571071.4500981504"/>
    <n v="2262060"/>
    <n v="15867932"/>
    <n v="7540"/>
    <n v="6107400"/>
    <n v="5360940.0000000009"/>
    <n v="7600122.3205084922"/>
    <n v="5913807.4401694983"/>
    <n v="2035800"/>
    <n v="14280760"/>
    <x v="1"/>
    <n v="810"/>
    <n v="0"/>
    <n v="0"/>
    <n v="0"/>
  </r>
  <r>
    <n v="132"/>
    <x v="2"/>
    <s v="P1226277"/>
    <s v="BS370 BOTTLE BRUSH"/>
    <x v="1"/>
    <n v="32973"/>
    <n v="203.33333333333397"/>
    <n v="325.9658220792723"/>
    <n v="218.32194069309082"/>
    <n v="626"/>
    <n v="24"/>
    <n v="48"/>
    <n v="0"/>
    <n v="144"/>
    <n v="120"/>
    <n v="24"/>
    <n v="75"/>
    <n v="650"/>
    <n v="89.317637696398108"/>
    <n v="77.770673811999359"/>
    <n v="24"/>
    <n v="77.770673811999359"/>
    <n v="72"/>
    <n v="74.20704161107038"/>
    <n v="2374056"/>
    <n v="6704510.0000000205"/>
    <n v="10748071.051419845"/>
    <n v="7198729.3504732838"/>
    <n v="4748112"/>
    <n v="21432450"/>
    <n v="29676"/>
    <n v="2136672"/>
    <n v="6034120.0000000186"/>
    <n v="9673361.736024484"/>
    <n v="6478921.9120081635"/>
    <n v="4273344"/>
    <n v="19289400"/>
    <x v="1"/>
    <n v="48"/>
    <n v="0"/>
    <n v="0"/>
    <n v="0"/>
  </r>
  <r>
    <n v="133"/>
    <x v="2"/>
    <s v="P1226278"/>
    <s v="WN11B BOTTLE 150ML BIRU"/>
    <x v="3"/>
    <n v="23892"/>
    <n v="1428.3333333333374"/>
    <n v="1510.2657937470606"/>
    <n v="1450.4219312490204"/>
    <n v="2135"/>
    <n v="372"/>
    <n v="144"/>
    <n v="447"/>
    <n v="300"/>
    <n v="372"/>
    <n v="12"/>
    <n v="75"/>
    <n v="2954"/>
    <n v="61.099462225923126"/>
    <n v="1882.3206218696114"/>
    <n v="0"/>
    <n v="1882.3206218696114"/>
    <n v="1884"/>
    <n v="75.034735646797813"/>
    <n v="45012528"/>
    <n v="34125740.000000097"/>
    <n v="36083270.344204769"/>
    <n v="34653480.781401597"/>
    <n v="7167600"/>
    <n v="70576968"/>
    <n v="21503"/>
    <n v="40511652"/>
    <n v="30713451.666666754"/>
    <n v="32475245.362943042"/>
    <n v="31188422.787647687"/>
    <n v="6450900"/>
    <n v="63519862"/>
    <x v="1"/>
    <n v="1884"/>
    <n v="0"/>
    <n v="0"/>
    <n v="0"/>
  </r>
  <r>
    <n v="134"/>
    <x v="2"/>
    <s v="P1226279"/>
    <s v="WN11W BOTTLE 150ML PUTIH"/>
    <x v="3"/>
    <n v="23892"/>
    <n v="1446.0000000000039"/>
    <n v="1541.6089881086934"/>
    <n v="1458.869662702898"/>
    <n v="2407"/>
    <n v="324"/>
    <n v="120"/>
    <n v="714"/>
    <n v="192"/>
    <n v="264"/>
    <n v="12"/>
    <n v="75"/>
    <n v="3445"/>
    <n v="70.842517767159478"/>
    <n v="1551.783144865939"/>
    <n v="0"/>
    <n v="1551.783144865939"/>
    <n v="1548"/>
    <n v="74.922203916580258"/>
    <n v="36984816"/>
    <n v="34547832.000000089"/>
    <n v="36832121.943892904"/>
    <n v="34855313.981297642"/>
    <n v="4587264"/>
    <n v="82307940"/>
    <n v="21503"/>
    <n v="33286644"/>
    <n v="31093338.000000082"/>
    <n v="33149218.071301237"/>
    <n v="31370074.357100416"/>
    <n v="4128576"/>
    <n v="74077835"/>
    <x v="1"/>
    <n v="1548"/>
    <n v="0"/>
    <n v="0"/>
    <n v="0"/>
  </r>
  <r>
    <n v="135"/>
    <x v="2"/>
    <s v="P1226280"/>
    <s v="WN11P BOTTLE 150ML UNGU"/>
    <x v="3"/>
    <n v="23892"/>
    <n v="1368.3333333333298"/>
    <n v="1450.491937507137"/>
    <n v="1416.8306458357124"/>
    <n v="2202"/>
    <n v="300"/>
    <n v="144"/>
    <n v="359"/>
    <n v="192"/>
    <n v="276"/>
    <n v="12"/>
    <n v="75"/>
    <n v="2861"/>
    <n v="60.578870348596595"/>
    <n v="1939.568552096418"/>
    <n v="0"/>
    <n v="1939.568552096418"/>
    <n v="1944"/>
    <n v="75.093831565189674"/>
    <n v="46446048"/>
    <n v="32692219.999999918"/>
    <n v="34655153.370920517"/>
    <n v="33850917.790306844"/>
    <n v="4587264"/>
    <n v="68355012"/>
    <n v="21503"/>
    <n v="41801832"/>
    <n v="29423271.666666593"/>
    <n v="31189928.132215966"/>
    <n v="30466109.377405323"/>
    <n v="4128576"/>
    <n v="61520083"/>
    <x v="1"/>
    <n v="1944"/>
    <n v="0"/>
    <n v="0"/>
    <n v="0"/>
  </r>
  <r>
    <n v="136"/>
    <x v="2"/>
    <s v="P1226281"/>
    <s v="WN12B BOTTLE 260ML BIRU"/>
    <x v="3"/>
    <n v="24973"/>
    <n v="1369.3333333333308"/>
    <n v="1491.0658295687542"/>
    <n v="1380.6886098562516"/>
    <n v="2018"/>
    <n v="444"/>
    <n v="276"/>
    <n v="218"/>
    <n v="324"/>
    <n v="300"/>
    <n v="12"/>
    <n v="75"/>
    <n v="2680"/>
    <n v="58.231812318905661"/>
    <n v="1938.787354209383"/>
    <n v="34"/>
    <n v="1938.787354209383"/>
    <n v="1944"/>
    <n v="75.113261869911994"/>
    <n v="48547512"/>
    <n v="34196361.333333269"/>
    <n v="37236386.961820498"/>
    <n v="34479936.653940171"/>
    <n v="8091252"/>
    <n v="66927640"/>
    <n v="22476"/>
    <n v="43693344"/>
    <n v="30777135.99999994"/>
    <n v="33513195.585387319"/>
    <n v="31032357.195129111"/>
    <n v="7282224"/>
    <n v="60235680"/>
    <x v="1"/>
    <n v="1910"/>
    <n v="0"/>
    <n v="0"/>
    <n v="0"/>
  </r>
  <r>
    <n v="137"/>
    <x v="2"/>
    <s v="P1226282"/>
    <s v="WN12W BOTTLE 260ML PUTIH"/>
    <x v="3"/>
    <n v="24973"/>
    <n v="1366.3333333333348"/>
    <n v="1498.4683909641251"/>
    <n v="1338.1561303213748"/>
    <n v="2268"/>
    <n v="348"/>
    <n v="228"/>
    <n v="210"/>
    <n v="228"/>
    <n v="228"/>
    <n v="12"/>
    <n v="75"/>
    <n v="2826"/>
    <n v="63.355835749628888"/>
    <n v="1789.8587167675623"/>
    <n v="18"/>
    <n v="1789.8587167675623"/>
    <n v="1788"/>
    <n v="74.958329598644468"/>
    <n v="44651724"/>
    <n v="34121442.333333373"/>
    <n v="37421251.127547093"/>
    <n v="33417773.042515691"/>
    <n v="5693844"/>
    <n v="70573698"/>
    <n v="22476"/>
    <n v="40187088"/>
    <n v="30709708.000000034"/>
    <n v="33679575.555309676"/>
    <n v="30076397.185103219"/>
    <n v="5124528"/>
    <n v="63517176"/>
    <x v="1"/>
    <n v="1770"/>
    <n v="0"/>
    <n v="0"/>
    <n v="0"/>
  </r>
  <r>
    <n v="138"/>
    <x v="2"/>
    <s v="P1226283"/>
    <s v="WN12P BOTTLE 260ML UNGU"/>
    <x v="3"/>
    <n v="24973"/>
    <n v="1392.3333333333326"/>
    <n v="1453.9497760548247"/>
    <n v="1461.6499253516083"/>
    <n v="1866"/>
    <n v="348"/>
    <n v="204"/>
    <n v="33"/>
    <n v="324"/>
    <n v="588"/>
    <n v="12"/>
    <n v="75"/>
    <n v="2247"/>
    <n v="46.119114317872075"/>
    <n v="2537.0745894338452"/>
    <n v="435"/>
    <n v="2537.0745894338452"/>
    <n v="2532"/>
    <n v="74.895845318106012"/>
    <n v="63231636"/>
    <n v="34770740.333333313"/>
    <n v="36309487.757417135"/>
    <n v="36501783.585805714"/>
    <n v="8091252"/>
    <n v="56114331"/>
    <n v="22476"/>
    <n v="56909232"/>
    <n v="31294083.999999981"/>
    <n v="32678975.16660824"/>
    <n v="32852043.722202748"/>
    <n v="7282224"/>
    <n v="50503572"/>
    <x v="1"/>
    <n v="2097"/>
    <n v="39"/>
    <n v="159"/>
    <n v="303"/>
  </r>
  <r>
    <n v="139"/>
    <x v="2"/>
    <s v="P1226284"/>
    <s v="PC5SB PACIFIER 0M+ BIRU"/>
    <x v="3"/>
    <n v="18378"/>
    <n v="1366.9999999999902"/>
    <n v="1660.369927755658"/>
    <n v="1422.123309251886"/>
    <n v="2178"/>
    <n v="360"/>
    <n v="72"/>
    <n v="91"/>
    <n v="1088"/>
    <n v="516"/>
    <n v="12"/>
    <n v="75"/>
    <n v="2629"/>
    <n v="55.459325845302331"/>
    <n v="1498.6782008853734"/>
    <n v="0"/>
    <n v="1498.6782008853734"/>
    <n v="1500"/>
    <n v="75.027883639330597"/>
    <n v="27567000"/>
    <n v="25122725.999999821"/>
    <n v="30514278.532293484"/>
    <n v="26135782.177431162"/>
    <n v="19995264"/>
    <n v="48315762"/>
    <n v="16540"/>
    <n v="24810000"/>
    <n v="22610179.99999984"/>
    <n v="27462518.605078582"/>
    <n v="23521919.535026193"/>
    <n v="17995520"/>
    <n v="43483660"/>
    <x v="1"/>
    <n v="1500"/>
    <n v="0"/>
    <n v="0"/>
    <n v="0"/>
  </r>
  <r>
    <n v="140"/>
    <x v="2"/>
    <s v="P1226285"/>
    <s v="PC5SP PACIFIER 0M+ PINK"/>
    <x v="3"/>
    <n v="18378"/>
    <n v="1214.6666666666702"/>
    <n v="1367.8528733038461"/>
    <n v="1246.6176244346152"/>
    <n v="1655"/>
    <n v="528"/>
    <n v="168"/>
    <n v="180"/>
    <n v="324"/>
    <n v="456"/>
    <n v="12"/>
    <n v="75"/>
    <n v="2363"/>
    <n v="56.865873392533736"/>
    <n v="1797.3969343903846"/>
    <n v="120"/>
    <n v="1797.3969343903846"/>
    <n v="1800"/>
    <n v="75.062643080570822"/>
    <n v="33080400"/>
    <n v="22323144.000000063"/>
    <n v="25138400.105578084"/>
    <n v="22910338.701859359"/>
    <n v="5954472"/>
    <n v="43427214"/>
    <n v="16540"/>
    <n v="29772000"/>
    <n v="20090586.666666724"/>
    <n v="22624286.524445616"/>
    <n v="20619055.508148536"/>
    <n v="5358960"/>
    <n v="39084020"/>
    <x v="1"/>
    <n v="1680"/>
    <n v="0"/>
    <n v="0"/>
    <n v="24"/>
  </r>
  <r>
    <n v="141"/>
    <x v="2"/>
    <s v="P1226286"/>
    <s v="PC5MB PACIFIER 6M+ BIRU"/>
    <x v="3"/>
    <n v="18378"/>
    <n v="925.66666666667015"/>
    <n v="1083.6974021539545"/>
    <n v="908.89913405131836"/>
    <n v="1595"/>
    <n v="408"/>
    <n v="60"/>
    <n v="588"/>
    <n v="216"/>
    <n v="264"/>
    <n v="12"/>
    <n v="75"/>
    <n v="2591"/>
    <n v="85.521040881100902"/>
    <n v="548.94523728225022"/>
    <n v="0"/>
    <n v="548.94523728225022"/>
    <n v="552"/>
    <n v="75.100828439701544"/>
    <n v="10144656"/>
    <n v="17011902.000000063"/>
    <n v="19916190.856785376"/>
    <n v="16703748.285595128"/>
    <n v="3969648"/>
    <n v="47617398"/>
    <n v="16540"/>
    <n v="9130080"/>
    <n v="15310526.666666724"/>
    <n v="17924355.031626407"/>
    <n v="15033191.677208805"/>
    <n v="3572640"/>
    <n v="42855140"/>
    <x v="1"/>
    <n v="552"/>
    <n v="0"/>
    <n v="0"/>
    <n v="0"/>
  </r>
  <r>
    <n v="142"/>
    <x v="2"/>
    <s v="P1226287"/>
    <s v="PC5MP PACIFIER 6M+ PINK"/>
    <x v="3"/>
    <n v="18378"/>
    <n v="323.66666666666595"/>
    <n v="527.09926203010934"/>
    <n v="324.69975401003649"/>
    <n v="140"/>
    <n v="0"/>
    <n v="132"/>
    <n v="0"/>
    <n v="1200"/>
    <n v="564"/>
    <n v="12"/>
    <n v="75"/>
    <n v="140"/>
    <n v="12.935026738179104"/>
    <n v="0"/>
    <n v="0"/>
    <n v="0"/>
    <n v="0"/>
    <n v="75.10637700804331"/>
    <n v="0"/>
    <n v="5948345.999999987"/>
    <n v="9687030.23758935"/>
    <n v="5967332.0791964503"/>
    <n v="22053600"/>
    <n v="2572920"/>
    <n v="16540"/>
    <n v="0"/>
    <n v="5353446.6666666549"/>
    <n v="8718221.7939780094"/>
    <n v="5370533.9313260037"/>
    <n v="19848000"/>
    <n v="2315600"/>
    <x v="1"/>
    <n v="0"/>
    <n v="0"/>
    <n v="0"/>
    <n v="0"/>
  </r>
  <r>
    <n v="143"/>
    <x v="2"/>
    <s v="P1226288"/>
    <s v="BD060 BOTTLE CLIPPER"/>
    <x v="1"/>
    <n v="10413"/>
    <n v="18.3333333333333"/>
    <n v="0"/>
    <n v="6"/>
    <n v="136"/>
    <n v="0"/>
    <n v="0"/>
    <n v="0"/>
    <n v="0"/>
    <n v="0"/>
    <n v="12"/>
    <n v="75"/>
    <n v="136"/>
    <n v="680"/>
    <n v="0"/>
    <n v="0"/>
    <n v="0"/>
    <n v="0"/>
    <n v="680"/>
    <n v="0"/>
    <n v="190904.99999999965"/>
    <n v="0"/>
    <n v="62478"/>
    <n v="0"/>
    <n v="1416168"/>
    <n v="9372"/>
    <n v="0"/>
    <n v="171819.99999999968"/>
    <n v="0"/>
    <n v="56232"/>
    <n v="0"/>
    <n v="1274592"/>
    <x v="2"/>
    <n v="0"/>
    <n v="0"/>
    <n v="0"/>
    <n v="0"/>
  </r>
  <r>
    <n v="144"/>
    <x v="2"/>
    <s v="P1226289"/>
    <s v="BS371 SILICONE BRUSH"/>
    <x v="1"/>
    <n v="22973"/>
    <n v="11.6666666666667"/>
    <n v="88.130054734283902"/>
    <n v="38.376684911427958"/>
    <n v="548"/>
    <n v="0"/>
    <n v="0"/>
    <n v="0"/>
    <n v="0"/>
    <n v="48"/>
    <n v="24"/>
    <n v="75"/>
    <n v="548"/>
    <n v="428.38509991008715"/>
    <n v="0"/>
    <n v="48"/>
    <n v="0"/>
    <n v="0"/>
    <n v="359.49166505164249"/>
    <n v="0"/>
    <n v="268018.33333333407"/>
    <n v="2024611.7474107041"/>
    <n v="881627.58247023448"/>
    <n v="0"/>
    <n v="12589204"/>
    <n v="20676"/>
    <n v="0"/>
    <n v="241220.0000000007"/>
    <n v="1822177.0116860541"/>
    <n v="793476.33722868445"/>
    <n v="0"/>
    <n v="11330448"/>
    <x v="1"/>
    <n v="-48"/>
    <n v="0"/>
    <n v="0"/>
    <n v="0"/>
  </r>
  <r>
    <n v="145"/>
    <x v="2"/>
    <s v="P1226290"/>
    <s v="FC009 GLASS CONTAINER 300ML"/>
    <x v="1"/>
    <n v="36757"/>
    <n v="114.33333333333265"/>
    <n v="185.97288946089483"/>
    <n v="134.65762982029827"/>
    <n v="451"/>
    <n v="15"/>
    <n v="0"/>
    <n v="0"/>
    <n v="72"/>
    <n v="72"/>
    <n v="24"/>
    <n v="75"/>
    <n v="466"/>
    <n v="103.81884798252001"/>
    <n v="0"/>
    <n v="0"/>
    <n v="0"/>
    <n v="0"/>
    <n v="78.427143937307136"/>
    <n v="0"/>
    <n v="4202550.3333333079"/>
    <n v="6835805.4979141112"/>
    <n v="4949610.4993047034"/>
    <n v="2646504"/>
    <n v="17128762"/>
    <n v="33081"/>
    <n v="0"/>
    <n v="3782260.9999999772"/>
    <n v="6152169.1562558617"/>
    <n v="4454609.0520852869"/>
    <n v="2381832"/>
    <n v="15415746"/>
    <x v="1"/>
    <n v="0"/>
    <n v="0"/>
    <n v="0"/>
    <n v="0"/>
  </r>
  <r>
    <n v="146"/>
    <x v="2"/>
    <s v="P1226291"/>
    <s v="LBW02 MILK &amp; FOOD WARMER"/>
    <x v="3"/>
    <n v="145946"/>
    <n v="566.33333333332996"/>
    <n v="712.0351049242073"/>
    <n v="588.01170164140228"/>
    <n v="1010"/>
    <n v="108"/>
    <n v="48"/>
    <n v="352"/>
    <n v="168"/>
    <n v="252"/>
    <n v="12"/>
    <n v="75"/>
    <n v="1470"/>
    <n v="74.998507473401091"/>
    <n v="544.06435902771318"/>
    <n v="0"/>
    <n v="544.06435902771318"/>
    <n v="540"/>
    <n v="74.792638870126183"/>
    <n v="78810840"/>
    <n v="82654084.66666618"/>
    <n v="103918675.42326836"/>
    <n v="85817955.807756096"/>
    <n v="24518928"/>
    <n v="214540620"/>
    <n v="131351"/>
    <n v="70929540"/>
    <n v="74388449.666666225"/>
    <n v="93526523.066899553"/>
    <n v="77235925.022299826"/>
    <n v="22066968"/>
    <n v="193085970"/>
    <x v="1"/>
    <n v="540"/>
    <n v="0"/>
    <n v="0"/>
    <n v="0"/>
  </r>
  <r>
    <n v="147"/>
    <x v="2"/>
    <s v="P1226293"/>
    <s v="DWS0M WIDE NECK NIPPLE SIZE M"/>
    <x v="3"/>
    <n v="22973"/>
    <n v="692.00000000000318"/>
    <n v="933.59489948491637"/>
    <n v="762.19829982830538"/>
    <n v="1348"/>
    <n v="312"/>
    <n v="84"/>
    <n v="350"/>
    <n v="216"/>
    <n v="252"/>
    <n v="12"/>
    <n v="75"/>
    <n v="2010"/>
    <n v="79.113270147130109"/>
    <n v="613.09064905567993"/>
    <n v="0"/>
    <n v="613.09064905567993"/>
    <n v="612"/>
    <n v="74.957072232150395"/>
    <n v="14059476"/>
    <n v="15897316.000000073"/>
    <n v="21447475.625866983"/>
    <n v="17509981.541955661"/>
    <n v="4962168"/>
    <n v="46175730"/>
    <n v="20676"/>
    <n v="12653712"/>
    <n v="14307792.000000065"/>
    <n v="19303008.141750131"/>
    <n v="15759212.047250042"/>
    <n v="4466016"/>
    <n v="41558760"/>
    <x v="1"/>
    <n v="612"/>
    <n v="0"/>
    <n v="0"/>
    <n v="0"/>
  </r>
  <r>
    <n v="148"/>
    <x v="2"/>
    <s v="P1226294"/>
    <s v="DWS0L WIDE NECK NIPPLE  SIZE L"/>
    <x v="3"/>
    <n v="22973"/>
    <n v="1017.3333333333384"/>
    <n v="1278.7572805976758"/>
    <n v="1122.585760199225"/>
    <n v="1734"/>
    <n v="324"/>
    <n v="168"/>
    <n v="214"/>
    <n v="288"/>
    <n v="336"/>
    <n v="12"/>
    <n v="75"/>
    <n v="2272"/>
    <n v="60.71696472250251"/>
    <n v="1525.2216810957379"/>
    <n v="2"/>
    <n v="1525.2216810957379"/>
    <n v="1524"/>
    <n v="74.967351774651362"/>
    <n v="35010852"/>
    <n v="23371198.666666783"/>
    <n v="29376891.007170409"/>
    <n v="25789162.669056796"/>
    <n v="6616224"/>
    <n v="52194656"/>
    <n v="20676"/>
    <n v="31510224"/>
    <n v="21034384.000000104"/>
    <n v="26439585.533637546"/>
    <n v="23210583.177879177"/>
    <n v="5954688"/>
    <n v="46975872"/>
    <x v="1"/>
    <n v="1522"/>
    <n v="0"/>
    <n v="0"/>
    <n v="0"/>
  </r>
  <r>
    <n v="149"/>
    <x v="2"/>
    <s v="P1226295"/>
    <s v="DWSXL  WIDE NECK NIPPLE SIZE  XL"/>
    <x v="3"/>
    <n v="22973"/>
    <n v="1821.0000000000041"/>
    <n v="2078.0974937933247"/>
    <n v="1887.3658312644418"/>
    <n v="2932"/>
    <n v="588"/>
    <n v="156"/>
    <n v="866"/>
    <n v="300"/>
    <n v="492"/>
    <n v="12"/>
    <n v="75"/>
    <n v="4386"/>
    <n v="69.716213900008938"/>
    <n v="2110.5120719544284"/>
    <n v="0"/>
    <n v="2110.5120719544284"/>
    <n v="2112"/>
    <n v="75.023650868648616"/>
    <n v="48518976"/>
    <n v="41833833.000000097"/>
    <n v="47740133.724914052"/>
    <n v="43358455.24163802"/>
    <n v="6891900"/>
    <n v="100759578"/>
    <n v="20676"/>
    <n v="43667712"/>
    <n v="37650996.000000082"/>
    <n v="42966743.781670779"/>
    <n v="39023175.9272236"/>
    <n v="6202800"/>
    <n v="90684936"/>
    <x v="1"/>
    <n v="2112"/>
    <n v="0"/>
    <n v="0"/>
    <n v="0"/>
  </r>
  <r>
    <n v="150"/>
    <x v="2"/>
    <s v="P1226296"/>
    <s v="WN13BLUE BOTTLE CHARACTER 250ML"/>
    <x v="3"/>
    <n v="30541"/>
    <n v="328.99999999999892"/>
    <n v="389.15493200644505"/>
    <n v="332.38497733548172"/>
    <n v="756"/>
    <n v="60"/>
    <n v="36"/>
    <n v="15"/>
    <n v="84"/>
    <n v="108"/>
    <n v="12"/>
    <n v="75"/>
    <n v="831"/>
    <n v="75.003389743567539"/>
    <n v="305.11737534514941"/>
    <n v="45"/>
    <n v="305.11737534514941"/>
    <n v="300"/>
    <n v="74.538122145034464"/>
    <n v="9162300"/>
    <n v="10047988.999999966"/>
    <n v="11885180.778408838"/>
    <n v="10151369.592802947"/>
    <n v="2565444"/>
    <n v="25379571"/>
    <n v="27487"/>
    <n v="8246100"/>
    <n v="9043222.9999999702"/>
    <n v="10696701.616061155"/>
    <n v="9136265.8720203862"/>
    <n v="2308908"/>
    <n v="22841697"/>
    <x v="1"/>
    <n v="255"/>
    <n v="0"/>
    <n v="9"/>
    <n v="33"/>
  </r>
  <r>
    <n v="151"/>
    <x v="2"/>
    <s v="P1226297"/>
    <s v="WN13GREEN BOTTLE CHARACTER 250ML"/>
    <x v="3"/>
    <n v="30541"/>
    <n v="376.6666666666672"/>
    <n v="441.92782638381902"/>
    <n v="393.97594212793962"/>
    <n v="736"/>
    <n v="144"/>
    <n v="36"/>
    <n v="25"/>
    <n v="108"/>
    <n v="156"/>
    <n v="12"/>
    <n v="75"/>
    <n v="905"/>
    <n v="68.912837300058584"/>
    <n v="413.86768170366804"/>
    <n v="59"/>
    <n v="413.86768170366804"/>
    <n v="408"/>
    <n v="74.553194923123314"/>
    <n v="12460728"/>
    <n v="11503776.666666683"/>
    <n v="13496917.745588217"/>
    <n v="12032419.248529404"/>
    <n v="3298428"/>
    <n v="27639605"/>
    <n v="27487"/>
    <n v="11214696"/>
    <n v="10353436.666666681"/>
    <n v="12147270.163812034"/>
    <n v="10829216.721270677"/>
    <n v="2968596"/>
    <n v="24875735"/>
    <x v="1"/>
    <n v="349"/>
    <n v="23"/>
    <n v="23"/>
    <n v="47"/>
  </r>
  <r>
    <n v="152"/>
    <x v="2"/>
    <s v="P1226298"/>
    <s v="WN13ORANGE BOTTLE CHARACTER 250ML"/>
    <x v="3"/>
    <n v="30541"/>
    <n v="322.33333333333303"/>
    <n v="380.51674092771344"/>
    <n v="337.1722469759045"/>
    <n v="653"/>
    <n v="24"/>
    <n v="48"/>
    <n v="2"/>
    <n v="120"/>
    <n v="180"/>
    <n v="12"/>
    <n v="75"/>
    <n v="679"/>
    <n v="60.414225022072209"/>
    <n v="424.44735836747464"/>
    <n v="106"/>
    <n v="424.44735836747464"/>
    <n v="420"/>
    <n v="74.604294979136355"/>
    <n v="12827220"/>
    <n v="9844382.3333333246"/>
    <n v="11621361.784673296"/>
    <n v="10297577.594891099"/>
    <n v="3664920"/>
    <n v="20737339"/>
    <n v="27487"/>
    <n v="11544540"/>
    <n v="8859976.3333333246"/>
    <n v="10459263.657880059"/>
    <n v="9267853.5526266862"/>
    <n v="3298440"/>
    <n v="18663673"/>
    <x v="1"/>
    <n v="314"/>
    <n v="46"/>
    <n v="58"/>
    <n v="82"/>
  </r>
  <r>
    <n v="153"/>
    <x v="2"/>
    <s v="P1226299"/>
    <s v="WN13UNGU BOTTLE CHARACTER 250ML"/>
    <x v="3"/>
    <n v="30541"/>
    <n v="283.66666666666515"/>
    <n v="342.69817800739679"/>
    <n v="306.56605933579885"/>
    <n v="512"/>
    <n v="72"/>
    <n v="36"/>
    <n v="13"/>
    <n v="108"/>
    <n v="192"/>
    <n v="12"/>
    <n v="75"/>
    <n v="597"/>
    <n v="58.421340049200232"/>
    <n v="404.11332634689393"/>
    <n v="107"/>
    <n v="404.11332634689393"/>
    <n v="408"/>
    <n v="75.380342852844862"/>
    <n v="12460728"/>
    <n v="8663463.6666666195"/>
    <n v="10466345.054523906"/>
    <n v="9362834.0181746334"/>
    <n v="3298428"/>
    <n v="18232977"/>
    <n v="27487"/>
    <n v="11214696"/>
    <n v="7797145.6666666251"/>
    <n v="9419744.8188893162"/>
    <n v="8426581.2729631029"/>
    <n v="2968596"/>
    <n v="16409739"/>
    <x v="1"/>
    <n v="301"/>
    <n v="23"/>
    <n v="47"/>
    <n v="59"/>
  </r>
  <r>
    <n v="154"/>
    <x v="2"/>
    <s v="P1226300"/>
    <s v="JS08BLUE SPOON BOTTLE 250 ML"/>
    <x v="1"/>
    <n v="15676"/>
    <n v="27.33333333333324"/>
    <n v="0"/>
    <n v="21.333333333333332"/>
    <n v="143"/>
    <n v="0"/>
    <n v="0"/>
    <n v="0"/>
    <n v="0"/>
    <n v="12"/>
    <n v="12"/>
    <n v="75"/>
    <n v="143"/>
    <n v="201.09375"/>
    <n v="0"/>
    <n v="12"/>
    <n v="0"/>
    <n v="0"/>
    <n v="201.09375"/>
    <n v="0"/>
    <n v="428477.33333333186"/>
    <n v="0"/>
    <n v="334421.33333333331"/>
    <n v="0"/>
    <n v="2241668"/>
    <n v="14108"/>
    <n v="0"/>
    <n v="385618.66666666535"/>
    <n v="0"/>
    <n v="300970.66666666663"/>
    <n v="0"/>
    <n v="2017444"/>
    <x v="2"/>
    <n v="-12"/>
    <n v="0"/>
    <n v="0"/>
    <n v="0"/>
  </r>
  <r>
    <n v="155"/>
    <x v="2"/>
    <s v="P1226301"/>
    <s v="JS08CREAM SPOON BOTTLE 250 ML"/>
    <x v="1"/>
    <n v="15676"/>
    <n v="97.000000000000298"/>
    <n v="171.7858408573434"/>
    <n v="133.59528028578117"/>
    <n v="371"/>
    <n v="0"/>
    <n v="24"/>
    <n v="0"/>
    <n v="120"/>
    <n v="108"/>
    <n v="12"/>
    <n v="75"/>
    <n v="371"/>
    <n v="83.311326389608908"/>
    <n v="14.774041571796374"/>
    <n v="12"/>
    <n v="14.774041571796374"/>
    <n v="12"/>
    <n v="74.377064466829466"/>
    <n v="188112"/>
    <n v="1520572.0000000047"/>
    <n v="2692914.8412797153"/>
    <n v="2094239.6137599056"/>
    <n v="1881120"/>
    <n v="5815796"/>
    <n v="14108"/>
    <n v="169296"/>
    <n v="1368476.0000000042"/>
    <n v="2423554.6428154008"/>
    <n v="1884762.2142718008"/>
    <n v="1692960"/>
    <n v="5234068"/>
    <x v="1"/>
    <n v="0"/>
    <n v="0"/>
    <n v="0"/>
    <n v="0"/>
  </r>
  <r>
    <n v="156"/>
    <x v="2"/>
    <s v="P1226302"/>
    <s v="JS07BLUE SPOON BOTTLE 125 ML"/>
    <x v="1"/>
    <n v="14865"/>
    <n v="132.33333333333343"/>
    <n v="0"/>
    <n v="86.666666666666657"/>
    <n v="292"/>
    <n v="0"/>
    <n v="0"/>
    <n v="1"/>
    <n v="120"/>
    <n v="48"/>
    <n v="12"/>
    <n v="75"/>
    <n v="293"/>
    <n v="101.42307692307693"/>
    <n v="0"/>
    <n v="0"/>
    <n v="0"/>
    <n v="0"/>
    <n v="142.96153846153848"/>
    <n v="0"/>
    <n v="1967135.0000000014"/>
    <n v="0"/>
    <n v="1288299.9999999998"/>
    <n v="1783800"/>
    <n v="4355445"/>
    <n v="13379"/>
    <n v="0"/>
    <n v="1770487.6666666679"/>
    <n v="0"/>
    <n v="1159513.3333333333"/>
    <n v="1605480"/>
    <n v="3920047"/>
    <x v="2"/>
    <n v="0"/>
    <n v="0"/>
    <n v="0"/>
    <n v="0"/>
  </r>
  <r>
    <n v="157"/>
    <x v="2"/>
    <s v="P1226303"/>
    <s v="JS07CREAM SPOON BOTTLE 125 ML"/>
    <x v="1"/>
    <n v="14865"/>
    <n v="102.3333333333329"/>
    <n v="174.59422162723419"/>
    <n v="130.53140720907808"/>
    <n v="381"/>
    <n v="48"/>
    <n v="36"/>
    <n v="0"/>
    <n v="108"/>
    <n v="84"/>
    <n v="12"/>
    <n v="75"/>
    <n v="429"/>
    <n v="98.596960495381282"/>
    <n v="0"/>
    <n v="12"/>
    <n v="12"/>
    <n v="12"/>
    <n v="86.04958447427056"/>
    <n v="178380"/>
    <n v="1521184.9999999935"/>
    <n v="2595343.1044888361"/>
    <n v="1940349.3681629456"/>
    <n v="1605420"/>
    <n v="6377085"/>
    <n v="13379"/>
    <n v="160548"/>
    <n v="1369117.6666666609"/>
    <n v="2335896.0911507662"/>
    <n v="1746379.6970502557"/>
    <n v="1444932"/>
    <n v="5739591"/>
    <x v="1"/>
    <n v="0"/>
    <n v="0"/>
    <n v="0"/>
    <n v="0"/>
  </r>
  <r>
    <n v="158"/>
    <x v="2"/>
    <s v="P1226304"/>
    <s v="MF01BIRU MEDICINE FEEDER"/>
    <x v="1"/>
    <n v="11514"/>
    <n v="36.333333333333272"/>
    <n v="0"/>
    <n v="17.333333333333332"/>
    <n v="104"/>
    <n v="0"/>
    <n v="0"/>
    <n v="0"/>
    <n v="0"/>
    <n v="24"/>
    <n v="12"/>
    <n v="75"/>
    <n v="104"/>
    <n v="180"/>
    <n v="0"/>
    <n v="24"/>
    <n v="0"/>
    <n v="0"/>
    <n v="180"/>
    <n v="0"/>
    <n v="418341.9999999993"/>
    <n v="0"/>
    <n v="199576"/>
    <n v="0"/>
    <n v="1197456"/>
    <n v="10363"/>
    <n v="0"/>
    <n v="376522.33333333267"/>
    <n v="0"/>
    <n v="179625.33333333331"/>
    <n v="0"/>
    <n v="1077752"/>
    <x v="2"/>
    <n v="-24"/>
    <n v="0"/>
    <n v="0"/>
    <n v="0"/>
  </r>
  <r>
    <n v="159"/>
    <x v="2"/>
    <s v="P1226305"/>
    <s v="MF01UNGU MEDICINE FEEDER"/>
    <x v="1"/>
    <n v="11514"/>
    <n v="44.66666666666643"/>
    <n v="0"/>
    <n v="33"/>
    <n v="110"/>
    <n v="0"/>
    <n v="0"/>
    <n v="0"/>
    <n v="0"/>
    <n v="24"/>
    <n v="12"/>
    <n v="75"/>
    <n v="110"/>
    <n v="100"/>
    <n v="0"/>
    <n v="24"/>
    <n v="0"/>
    <n v="0"/>
    <n v="100"/>
    <n v="0"/>
    <n v="514291.99999999726"/>
    <n v="0"/>
    <n v="379962"/>
    <n v="0"/>
    <n v="1266540"/>
    <n v="10363"/>
    <n v="0"/>
    <n v="462880.66666666418"/>
    <n v="0"/>
    <n v="341979"/>
    <n v="0"/>
    <n v="1139930"/>
    <x v="2"/>
    <n v="-24"/>
    <n v="0"/>
    <n v="0"/>
    <n v="0"/>
  </r>
  <r>
    <n v="160"/>
    <x v="2"/>
    <s v="P1226306"/>
    <s v="JP39B PRES&amp;SIP CUP BLUE"/>
    <x v="1"/>
    <n v="52973"/>
    <n v="159.33333333333263"/>
    <n v="225.2062806764628"/>
    <n v="168.73542689215429"/>
    <n v="452"/>
    <n v="48"/>
    <n v="0"/>
    <n v="0"/>
    <n v="72"/>
    <n v="96"/>
    <n v="24"/>
    <n v="75"/>
    <n v="500"/>
    <n v="88.896565921435766"/>
    <n v="75.044847906848531"/>
    <n v="24"/>
    <n v="75.044847906848531"/>
    <n v="72"/>
    <n v="74.458646954656189"/>
    <n v="3814056"/>
    <n v="8440364.6666666288"/>
    <n v="11929852.306274263"/>
    <n v="8938421.7687580902"/>
    <n v="3814056"/>
    <n v="26486500"/>
    <n v="47676"/>
    <n v="3432672"/>
    <n v="7596375.9999999665"/>
    <n v="10736934.63753104"/>
    <n v="8044630.2125103483"/>
    <n v="3432672"/>
    <n v="23838000"/>
    <x v="1"/>
    <n v="48"/>
    <n v="0"/>
    <n v="0"/>
    <n v="0"/>
  </r>
  <r>
    <n v="161"/>
    <x v="2"/>
    <s v="P1226307"/>
    <s v="JP39U PRES&amp;SIP CUP PURPLE"/>
    <x v="1"/>
    <n v="52973"/>
    <n v="124.0000000000005"/>
    <n v="195.73741401413724"/>
    <n v="129.57913800471243"/>
    <n v="381"/>
    <n v="24"/>
    <n v="12"/>
    <n v="12"/>
    <n v="84"/>
    <n v="84"/>
    <n v="12"/>
    <n v="75"/>
    <n v="417"/>
    <n v="96.543318566797737"/>
    <n v="18.685259025918299"/>
    <n v="0"/>
    <n v="18.685259025918299"/>
    <n v="24"/>
    <n v="76.23046218455822"/>
    <n v="1271352"/>
    <n v="6568652.0000000261"/>
    <n v="10368798.032570893"/>
    <n v="6864195.6775236316"/>
    <n v="4449732"/>
    <n v="22089741"/>
    <n v="47676"/>
    <n v="1144224"/>
    <n v="5911824.0000000233"/>
    <n v="9331976.9505380075"/>
    <n v="6177814.9835126698"/>
    <n v="4004784"/>
    <n v="19880892"/>
    <x v="1"/>
    <n v="24"/>
    <n v="0"/>
    <n v="0"/>
    <n v="12"/>
  </r>
  <r>
    <n v="162"/>
    <x v="2"/>
    <s v="P1226308"/>
    <s v="JP41B SLCN FOODFEEDER 150ML BIRU"/>
    <x v="1"/>
    <n v="37838"/>
    <n v="157.66666666666725"/>
    <n v="0"/>
    <n v="86.333333333333343"/>
    <n v="181"/>
    <n v="0"/>
    <n v="0"/>
    <n v="0"/>
    <n v="0"/>
    <n v="84"/>
    <n v="12"/>
    <n v="75"/>
    <n v="181"/>
    <n v="62.895752895752885"/>
    <n v="34.833333333333371"/>
    <n v="84"/>
    <n v="0"/>
    <n v="0"/>
    <n v="62.895752895752885"/>
    <n v="0"/>
    <n v="5965791.3333333554"/>
    <n v="0"/>
    <n v="3266680.666666667"/>
    <n v="0"/>
    <n v="6848678"/>
    <n v="34054"/>
    <n v="0"/>
    <n v="5369180.6666666865"/>
    <n v="0"/>
    <n v="2939995.3333333335"/>
    <n v="0"/>
    <n v="6163774"/>
    <x v="2"/>
    <n v="-84"/>
    <n v="0"/>
    <n v="0"/>
    <n v="0"/>
  </r>
  <r>
    <n v="163"/>
    <x v="2"/>
    <s v="P1226309"/>
    <s v="JP41U SLCN FOODFEEDER 150ML UNGU"/>
    <x v="1"/>
    <n v="37838"/>
    <n v="108.66666666666768"/>
    <n v="167.0116223728875"/>
    <n v="135.00387412429583"/>
    <n v="327"/>
    <n v="120"/>
    <n v="24"/>
    <n v="0"/>
    <n v="96"/>
    <n v="72"/>
    <n v="24"/>
    <n v="75"/>
    <n v="447"/>
    <n v="99.33048282491238"/>
    <n v="0"/>
    <n v="0"/>
    <n v="0"/>
    <n v="0"/>
    <n v="83.550575137039303"/>
    <n v="0"/>
    <n v="4111729.3333333717"/>
    <n v="6319385.7673453176"/>
    <n v="5108276.5891151056"/>
    <n v="3632448"/>
    <n v="16913586"/>
    <n v="34054"/>
    <n v="0"/>
    <n v="3700534.666666701"/>
    <n v="5687413.7882863106"/>
    <n v="4597421.9294287702"/>
    <n v="3269184"/>
    <n v="15222138"/>
    <x v="1"/>
    <n v="0"/>
    <n v="0"/>
    <n v="0"/>
    <n v="0"/>
  </r>
  <r>
    <n v="164"/>
    <x v="2"/>
    <s v="P1226310"/>
    <s v="JS09B BOTTLE WGHT STRAW 250ML BIRU"/>
    <x v="3"/>
    <n v="24595"/>
    <n v="1820.3333333333285"/>
    <n v="1678.7650398500552"/>
    <n v="1644.2550132833514"/>
    <n v="2167"/>
    <n v="420"/>
    <n v="264"/>
    <n v="549"/>
    <n v="705"/>
    <n v="300"/>
    <n v="12"/>
    <n v="75"/>
    <n v="3136"/>
    <n v="57.217401947971055"/>
    <n v="1948.4025730584344"/>
    <n v="0"/>
    <n v="1000"/>
    <n v="996"/>
    <n v="57.62308646716636"/>
    <n v="24496620"/>
    <n v="44771098.333333217"/>
    <n v="41289226.15511211"/>
    <n v="40440452.051704027"/>
    <n v="17339475"/>
    <n v="77129920"/>
    <n v="22135"/>
    <n v="22046460"/>
    <n v="40293078.333333224"/>
    <n v="37159464.157080971"/>
    <n v="36395584.719026983"/>
    <n v="15605175"/>
    <n v="69415360"/>
    <x v="1"/>
    <n v="996"/>
    <n v="0"/>
    <n v="0"/>
    <n v="0"/>
  </r>
  <r>
    <n v="165"/>
    <x v="2"/>
    <s v="P1226311"/>
    <s v="JS09P BOTTLE WGHT STRAW 250ML PINK"/>
    <x v="3"/>
    <n v="24595"/>
    <n v="1598.0000000000002"/>
    <n v="1729.0715536777311"/>
    <n v="1546.690517892577"/>
    <n v="2139"/>
    <n v="360"/>
    <n v="348"/>
    <n v="120"/>
    <n v="1090"/>
    <n v="372"/>
    <n v="12"/>
    <n v="75"/>
    <n v="2619"/>
    <n v="50.798785594841902"/>
    <n v="1886.7978484091736"/>
    <n v="0"/>
    <n v="1000"/>
    <n v="996"/>
    <n v="57.721859904664342"/>
    <n v="24496620"/>
    <n v="39302810.000000007"/>
    <n v="42526514.8627038"/>
    <n v="38040853.287567928"/>
    <n v="26808550"/>
    <n v="64414305"/>
    <n v="22135"/>
    <n v="22046460"/>
    <n v="35371730.000000007"/>
    <n v="38272998.840656579"/>
    <n v="34235994.61355219"/>
    <n v="24127150"/>
    <n v="57971565"/>
    <x v="1"/>
    <n v="996"/>
    <n v="0"/>
    <n v="0"/>
    <n v="0"/>
  </r>
  <r>
    <n v="166"/>
    <x v="2"/>
    <s v="P1226312"/>
    <s v="JS09U BOTTLE WGHT STRAW 250ML UNGU"/>
    <x v="3"/>
    <n v="24595"/>
    <n v="1304.3333333333358"/>
    <n v="1676.1591521562138"/>
    <n v="1255.3863840520717"/>
    <n v="2320"/>
    <n v="264"/>
    <n v="180"/>
    <n v="1350"/>
    <n v="168"/>
    <n v="192"/>
    <n v="12"/>
    <n v="75"/>
    <n v="3934"/>
    <n v="94.010896963101601"/>
    <n v="712.62511228639323"/>
    <n v="0"/>
    <n v="712.62511228639323"/>
    <n v="708"/>
    <n v="74.889473575343445"/>
    <n v="17413260"/>
    <n v="32080078.333333392"/>
    <n v="41225134.347282082"/>
    <n v="30876228.115760703"/>
    <n v="4131960"/>
    <n v="96756730"/>
    <n v="22135"/>
    <n v="15671580"/>
    <n v="28871418.333333388"/>
    <n v="37101782.832977794"/>
    <n v="27787977.610992607"/>
    <n v="3718680"/>
    <n v="87079090"/>
    <x v="1"/>
    <n v="708"/>
    <n v="0"/>
    <n v="0"/>
    <n v="0"/>
  </r>
  <r>
    <n v="167"/>
    <x v="2"/>
    <s v="P1226313"/>
    <s v="SWN02 SILICONE WEIGHTED STRAW"/>
    <x v="1"/>
    <n v="15676"/>
    <n v="2.3333333333333002"/>
    <n v="0"/>
    <n v="1"/>
    <n v="45"/>
    <n v="0"/>
    <n v="0"/>
    <n v="0"/>
    <n v="0"/>
    <n v="0"/>
    <n v="12"/>
    <n v="75"/>
    <n v="45"/>
    <n v="1350"/>
    <n v="0"/>
    <n v="0"/>
    <n v="0"/>
    <n v="0"/>
    <n v="1350"/>
    <n v="0"/>
    <n v="36577.333333332812"/>
    <n v="0"/>
    <n v="15676"/>
    <n v="0"/>
    <n v="705420"/>
    <n v="14108"/>
    <n v="0"/>
    <n v="32918.666666666199"/>
    <n v="0"/>
    <n v="14108"/>
    <n v="0"/>
    <n v="634860"/>
    <x v="2"/>
    <n v="0"/>
    <n v="0"/>
    <n v="0"/>
    <n v="0"/>
  </r>
  <r>
    <n v="168"/>
    <x v="2"/>
    <s v="P1226314"/>
    <s v="LB17B SLOW COOKER 1.5 L"/>
    <x v="3"/>
    <n v="313514"/>
    <n v="847.33333333333712"/>
    <n v="1017.1138463304957"/>
    <n v="770.03794877683197"/>
    <n v="1475"/>
    <n v="90"/>
    <n v="48"/>
    <n v="755"/>
    <n v="102"/>
    <n v="120"/>
    <n v="6"/>
    <n v="75"/>
    <n v="2320"/>
    <n v="90.385155836223703"/>
    <n v="520.20871827257542"/>
    <n v="0"/>
    <n v="300"/>
    <n v="300"/>
    <n v="66.420862363119909"/>
    <n v="94054200"/>
    <n v="265650862.66666785"/>
    <n v="318879430.418459"/>
    <n v="241417677.47281969"/>
    <n v="31978428"/>
    <n v="727352480"/>
    <n v="282162"/>
    <n v="84648600"/>
    <n v="239085268.00000107"/>
    <n v="286990877.10830534"/>
    <n v="217275447.70276847"/>
    <n v="28780524"/>
    <n v="654615840"/>
    <x v="1"/>
    <n v="300"/>
    <n v="0"/>
    <n v="0"/>
    <n v="0"/>
  </r>
  <r>
    <n v="169"/>
    <x v="2"/>
    <s v="P1226315"/>
    <s v="WN14B BOTTLE WIDE NECK 125ML BIRU"/>
    <x v="3"/>
    <n v="28378"/>
    <n v="432.33333333333303"/>
    <n v="521.02612211892483"/>
    <n v="464.00870737297492"/>
    <n v="856"/>
    <n v="84"/>
    <n v="48"/>
    <n v="16"/>
    <n v="180"/>
    <n v="144"/>
    <n v="12"/>
    <n v="75"/>
    <n v="956"/>
    <n v="61.809184923218957"/>
    <n v="545.04789055136212"/>
    <n v="0"/>
    <n v="545.04789055136212"/>
    <n v="540"/>
    <n v="74.673633890626249"/>
    <n v="15324120"/>
    <n v="12268755.333333325"/>
    <n v="14785679.293490849"/>
    <n v="13167639.097830283"/>
    <n v="5108040"/>
    <n v="27129368"/>
    <n v="25540"/>
    <n v="13791600"/>
    <n v="11041793.333333327"/>
    <n v="13307007.15891734"/>
    <n v="11850782.386305779"/>
    <n v="4597200"/>
    <n v="24416240"/>
    <x v="1"/>
    <n v="540"/>
    <n v="0"/>
    <n v="0"/>
    <n v="0"/>
  </r>
  <r>
    <n v="170"/>
    <x v="2"/>
    <s v="P1226316"/>
    <s v="WN14O BOTTLE WIDE NECK 125ML ORANGE"/>
    <x v="3"/>
    <n v="28378"/>
    <n v="405.00000000000131"/>
    <n v="478.5578668325773"/>
    <n v="418.18595561085908"/>
    <n v="886"/>
    <n v="96"/>
    <n v="36"/>
    <n v="12"/>
    <n v="96"/>
    <n v="84"/>
    <n v="12"/>
    <n v="75"/>
    <n v="994"/>
    <n v="71.307990141469162"/>
    <n v="434.02275585972507"/>
    <n v="12"/>
    <n v="434.02275585972507"/>
    <n v="432"/>
    <n v="74.854890689231524"/>
    <n v="12259296"/>
    <n v="11493090.000000037"/>
    <n v="13580515.144974878"/>
    <n v="11867281.048324959"/>
    <n v="2724288"/>
    <n v="28207732"/>
    <n v="25540"/>
    <n v="11033280"/>
    <n v="10343700.000000034"/>
    <n v="12222367.918904025"/>
    <n v="10680469.30630134"/>
    <n v="2451840"/>
    <n v="25386760"/>
    <x v="1"/>
    <n v="420"/>
    <n v="0"/>
    <n v="0"/>
    <n v="0"/>
  </r>
  <r>
    <n v="171"/>
    <x v="2"/>
    <s v="P1226317"/>
    <s v="WN14U BOTTLE WIDE NECK 125ML UNGU"/>
    <x v="3"/>
    <n v="28378"/>
    <n v="465.99999999999932"/>
    <n v="556.77025945820128"/>
    <n v="483.59008648606704"/>
    <n v="902"/>
    <n v="108"/>
    <n v="72"/>
    <n v="98"/>
    <n v="108"/>
    <n v="108"/>
    <n v="12"/>
    <n v="75"/>
    <n v="1108"/>
    <n v="68.735900360434073"/>
    <n v="549.7454756733689"/>
    <n v="0"/>
    <n v="549.7454756733689"/>
    <n v="552"/>
    <n v="75.139861696277521"/>
    <n v="15664656"/>
    <n v="13224147.999999981"/>
    <n v="15800026.422904836"/>
    <n v="13723319.47430161"/>
    <n v="3064824"/>
    <n v="31442824"/>
    <n v="25540"/>
    <n v="14098080"/>
    <n v="11901639.999999983"/>
    <n v="14219912.42656246"/>
    <n v="12350890.808854152"/>
    <n v="2758320"/>
    <n v="28298320"/>
    <x v="1"/>
    <n v="552"/>
    <n v="0"/>
    <n v="0"/>
    <n v="0"/>
  </r>
  <r>
    <n v="172"/>
    <x v="2"/>
    <s v="P1226318"/>
    <s v="WN15B BOTTLE WIDE NECK 250ML BIRU"/>
    <x v="3"/>
    <n v="29459"/>
    <n v="469.66666666666754"/>
    <n v="556.0077699109803"/>
    <n v="496.33592330366008"/>
    <n v="834"/>
    <n v="180"/>
    <n v="96"/>
    <n v="32"/>
    <n v="132"/>
    <n v="96"/>
    <n v="12"/>
    <n v="75"/>
    <n v="1046"/>
    <n v="63.22331011451211"/>
    <n v="618.84757817013042"/>
    <n v="28"/>
    <n v="618.84757817013042"/>
    <n v="624"/>
    <n v="75.311427498270191"/>
    <n v="18382416"/>
    <n v="13835910.333333358"/>
    <n v="16379432.89380757"/>
    <n v="14621559.964602523"/>
    <n v="3888588"/>
    <n v="30814114"/>
    <n v="26513"/>
    <n v="16544112"/>
    <n v="12452272.333333356"/>
    <n v="14741434.003649822"/>
    <n v="13159354.334549939"/>
    <n v="3499716"/>
    <n v="27732598"/>
    <x v="1"/>
    <n v="596"/>
    <n v="0"/>
    <n v="0"/>
    <n v="0"/>
  </r>
  <r>
    <n v="173"/>
    <x v="2"/>
    <s v="P1226319"/>
    <s v="WN15O BOTTLE WIDE NECK 250ML ORANGE"/>
    <x v="3"/>
    <n v="29459"/>
    <n v="406.33333333333462"/>
    <n v="476.41133073584763"/>
    <n v="421.13711024528254"/>
    <n v="773"/>
    <n v="144"/>
    <n v="48"/>
    <n v="74"/>
    <n v="84"/>
    <n v="84"/>
    <n v="12"/>
    <n v="75"/>
    <n v="991"/>
    <n v="70.594586125844813"/>
    <n v="454.25410634905393"/>
    <n v="0"/>
    <n v="454.25410634905393"/>
    <n v="456"/>
    <n v="75.124369969433189"/>
    <n v="13433304"/>
    <n v="11970173.666666705"/>
    <n v="14034601.392147336"/>
    <n v="12406278.130715778"/>
    <n v="2474556"/>
    <n v="29193869"/>
    <n v="26513"/>
    <n v="12089928"/>
    <n v="10773115.666666701"/>
    <n v="12631093.611799529"/>
    <n v="11165608.203933176"/>
    <n v="2227092"/>
    <n v="26274383"/>
    <x v="1"/>
    <n v="456"/>
    <n v="0"/>
    <n v="0"/>
    <n v="0"/>
  </r>
  <r>
    <n v="174"/>
    <x v="2"/>
    <s v="P1226320"/>
    <s v="WN15U BOTTLE WIDE NECK 250ML UNGU"/>
    <x v="3"/>
    <n v="29459"/>
    <n v="466.00000000000159"/>
    <n v="571.6963445363466"/>
    <n v="494.56544817878222"/>
    <n v="892"/>
    <n v="132"/>
    <n v="60"/>
    <n v="137"/>
    <n v="96"/>
    <n v="72"/>
    <n v="12"/>
    <n v="75"/>
    <n v="1161"/>
    <n v="70.425461641649463"/>
    <n v="551.10996498330223"/>
    <n v="0"/>
    <n v="551.10996498330223"/>
    <n v="552"/>
    <n v="75.053988912082843"/>
    <n v="16261368"/>
    <n v="13727894.000000047"/>
    <n v="16841602.613696236"/>
    <n v="14569403.537898745"/>
    <n v="2828064"/>
    <n v="34201899"/>
    <n v="26513"/>
    <n v="14635176"/>
    <n v="12355058.000000043"/>
    <n v="15157385.182692157"/>
    <n v="13112413.727564054"/>
    <n v="2545248"/>
    <n v="30781593"/>
    <x v="1"/>
    <n v="552"/>
    <n v="0"/>
    <n v="0"/>
    <n v="0"/>
  </r>
  <r>
    <n v="175"/>
    <x v="2"/>
    <s v="P1226321"/>
    <s v="FC07B GLASS CONTAINER BLUE"/>
    <x v="3"/>
    <n v="46486"/>
    <n v="1682.3333333333412"/>
    <n v="1815.8534097530219"/>
    <n v="1576.2844699176742"/>
    <n v="434"/>
    <n v="3"/>
    <n v="384"/>
    <n v="1"/>
    <n v="2808"/>
    <n v="2496"/>
    <n v="24"/>
    <n v="75"/>
    <n v="438"/>
    <n v="8.3360587830230113"/>
    <n v="2510.5645845472072"/>
    <n v="71"/>
    <n v="1500"/>
    <n v="1512"/>
    <n v="55.995221288971521"/>
    <n v="70286832"/>
    <n v="78204947.333333701"/>
    <n v="84411761.605778977"/>
    <n v="73275159.868593007"/>
    <n v="130532688"/>
    <n v="20360868"/>
    <n v="41838"/>
    <n v="63259056"/>
    <n v="70385462.000000328"/>
    <n v="75971674.957246929"/>
    <n v="65948589.652415656"/>
    <n v="117481104"/>
    <n v="18325044"/>
    <x v="1"/>
    <n v="1441"/>
    <n v="0"/>
    <n v="0"/>
    <n v="0"/>
  </r>
  <r>
    <n v="176"/>
    <x v="2"/>
    <s v="P1226322"/>
    <s v="FC07C GLASS CONTAINER CREAM"/>
    <x v="3"/>
    <n v="46486"/>
    <n v="1385.3333333333317"/>
    <n v="1737.6498663615771"/>
    <n v="1363.8832887871922"/>
    <n v="230"/>
    <n v="0"/>
    <n v="360"/>
    <n v="0"/>
    <n v="2376"/>
    <n v="2496"/>
    <n v="24"/>
    <n v="75"/>
    <n v="230"/>
    <n v="5.0590839089579989"/>
    <n v="2541.3580883295581"/>
    <n v="480"/>
    <n v="2000"/>
    <n v="1992"/>
    <n v="62.916310152504387"/>
    <n v="92600112"/>
    <n v="64398605.333333254"/>
    <n v="80776391.687684268"/>
    <n v="63401478.562561415"/>
    <n v="110450736"/>
    <n v="10691780"/>
    <n v="41838"/>
    <n v="83341296"/>
    <n v="57959575.999999933"/>
    <n v="72699795.108835667"/>
    <n v="57062149.036278546"/>
    <n v="99407088"/>
    <n v="9622740"/>
    <x v="1"/>
    <n v="1512"/>
    <n v="0"/>
    <n v="0"/>
    <n v="0"/>
  </r>
  <r>
    <n v="177"/>
    <x v="2"/>
    <s v="P1226323"/>
    <s v="BT16B FOLDABLE BATHTUB BLUE"/>
    <x v="3"/>
    <n v="115135"/>
    <n v="335.00000000000153"/>
    <n v="420.59677771885151"/>
    <n v="360.53225923961719"/>
    <n v="553"/>
    <n v="98"/>
    <n v="56"/>
    <n v="151"/>
    <n v="75"/>
    <n v="103"/>
    <n v="1"/>
    <n v="75"/>
    <n v="802"/>
    <n v="66.734666270208095"/>
    <n v="444.92742581789435"/>
    <n v="0"/>
    <n v="444.92742581789435"/>
    <n v="445"/>
    <n v="75.006038919978366"/>
    <n v="51235075"/>
    <n v="38570225.000000179"/>
    <n v="48425410.002659969"/>
    <n v="41509881.667553328"/>
    <n v="8635125"/>
    <n v="92338270"/>
    <n v="103622"/>
    <n v="46111790"/>
    <n v="34713370.000000156"/>
    <n v="43583079.30078283"/>
    <n v="37359073.766927615"/>
    <n v="7771650"/>
    <n v="83104844"/>
    <x v="1"/>
    <n v="445"/>
    <n v="0"/>
    <n v="0"/>
    <n v="0"/>
  </r>
  <r>
    <n v="178"/>
    <x v="2"/>
    <s v="P1226324"/>
    <s v="BT16P FOLDABLE BATHTUB PINK"/>
    <x v="3"/>
    <n v="115135"/>
    <n v="238.33333333333314"/>
    <n v="325.20539518325211"/>
    <n v="262.06846506108405"/>
    <n v="467"/>
    <n v="57"/>
    <n v="38"/>
    <n v="116"/>
    <n v="52"/>
    <n v="71"/>
    <n v="1"/>
    <n v="75"/>
    <n v="640"/>
    <n v="73.263297800919247"/>
    <n v="288.37655783596222"/>
    <n v="0"/>
    <n v="288.37655783596222"/>
    <n v="288"/>
    <n v="74.956893954882233"/>
    <n v="33158880"/>
    <n v="27440508.33333331"/>
    <n v="37442523.174423732"/>
    <n v="30173252.724807914"/>
    <n v="5987020"/>
    <n v="73686400"/>
    <n v="103622"/>
    <n v="29843136"/>
    <n v="24696576.666666646"/>
    <n v="33698433.459678948"/>
    <n v="27156058.486559652"/>
    <n v="5388344"/>
    <n v="66318080"/>
    <x v="1"/>
    <n v="288"/>
    <n v="0"/>
    <n v="0"/>
    <n v="0"/>
  </r>
  <r>
    <n v="179"/>
    <x v="2"/>
    <s v="P1226325"/>
    <s v="LB018 SLOW COOKER 1.2L"/>
    <x v="3"/>
    <n v="237838"/>
    <n v="858.66666666666708"/>
    <n v="846.06237717800866"/>
    <n v="844.68745905933633"/>
    <n v="927"/>
    <n v="234"/>
    <n v="78"/>
    <n v="160"/>
    <n v="186"/>
    <n v="306"/>
    <n v="6"/>
    <n v="75"/>
    <n v="1321"/>
    <n v="46.916761430473812"/>
    <n v="1450.7810248263495"/>
    <n v="38"/>
    <n v="700"/>
    <n v="702"/>
    <n v="48.406222024645317"/>
    <n v="166962276"/>
    <n v="204223562.66666678"/>
    <n v="201225783.66326323"/>
    <n v="200898775.88775444"/>
    <n v="44237868"/>
    <n v="314183998"/>
    <n v="214054"/>
    <n v="150265908"/>
    <n v="183801034.66666675"/>
    <n v="181103036.08446148"/>
    <n v="180808729.36148718"/>
    <n v="39814044"/>
    <n v="282765334"/>
    <x v="1"/>
    <n v="664"/>
    <n v="0"/>
    <n v="0"/>
    <n v="2"/>
  </r>
  <r>
    <n v="180"/>
    <x v="2"/>
    <s v="P1226326"/>
    <s v="NS01B NURSING SET BLUE"/>
    <x v="1"/>
    <n v="45946"/>
    <n v="70.999999999999758"/>
    <n v="0"/>
    <n v="51.333333333333336"/>
    <n v="414"/>
    <n v="0"/>
    <n v="0"/>
    <n v="0"/>
    <n v="0"/>
    <n v="68"/>
    <n v="34"/>
    <n v="75"/>
    <n v="414"/>
    <n v="241.9480519480519"/>
    <n v="0"/>
    <n v="68"/>
    <n v="0"/>
    <n v="0"/>
    <n v="241.9480519480519"/>
    <n v="0"/>
    <n v="3262165.9999999888"/>
    <n v="0"/>
    <n v="2358561.3333333335"/>
    <n v="0"/>
    <n v="19021644"/>
    <n v="41351"/>
    <n v="0"/>
    <n v="2935920.9999999902"/>
    <n v="0"/>
    <n v="2122684.666666667"/>
    <n v="0"/>
    <n v="17119314"/>
    <x v="2"/>
    <n v="-68"/>
    <n v="0"/>
    <n v="0"/>
    <n v="0"/>
  </r>
  <r>
    <n v="181"/>
    <x v="2"/>
    <s v="P1226327"/>
    <s v="NS01R NURSING SET RED"/>
    <x v="1"/>
    <n v="45946"/>
    <n v="56.333333333333265"/>
    <n v="71.31185349228781"/>
    <n v="67.437284497429289"/>
    <n v="457"/>
    <n v="0"/>
    <n v="0"/>
    <n v="0"/>
    <n v="0"/>
    <n v="68"/>
    <n v="34"/>
    <n v="75"/>
    <n v="457"/>
    <n v="203.30000091451822"/>
    <n v="0"/>
    <n v="68"/>
    <n v="0"/>
    <n v="0"/>
    <n v="171.57636879154643"/>
    <n v="0"/>
    <n v="2588291.3333333302"/>
    <n v="3276494.4205566556"/>
    <n v="3098473.4735188861"/>
    <n v="0"/>
    <n v="20997322"/>
    <n v="41351"/>
    <n v="0"/>
    <n v="2329439.6666666637"/>
    <n v="2948816.4537595934"/>
    <n v="2788599.1512531987"/>
    <n v="0"/>
    <n v="18897407"/>
    <x v="1"/>
    <n v="-68"/>
    <n v="0"/>
    <n v="0"/>
    <n v="0"/>
  </r>
  <r>
    <n v="182"/>
    <x v="2"/>
    <s v="P1226328"/>
    <s v="LBD02 STERIL &amp; DRY WITH RACK"/>
    <x v="1"/>
    <n v="491892"/>
    <n v="219.6666666666668"/>
    <n v="0"/>
    <n v="134.66666666666671"/>
    <n v="352"/>
    <n v="16"/>
    <n v="0"/>
    <n v="3"/>
    <n v="89"/>
    <n v="4"/>
    <n v="4"/>
    <n v="75"/>
    <n v="371"/>
    <n v="82.648514851485118"/>
    <n v="0"/>
    <n v="0"/>
    <n v="0"/>
    <n v="0"/>
    <n v="102.47524752475243"/>
    <n v="0"/>
    <n v="108052276.00000006"/>
    <n v="0"/>
    <n v="66241456.000000022"/>
    <n v="43778388"/>
    <n v="182491932"/>
    <n v="442703"/>
    <n v="0"/>
    <n v="97247092.333333388"/>
    <n v="0"/>
    <n v="59617337.333333351"/>
    <n v="39400567"/>
    <n v="164242813"/>
    <x v="2"/>
    <n v="0"/>
    <n v="0"/>
    <n v="0"/>
    <n v="0"/>
  </r>
  <r>
    <n v="183"/>
    <x v="2"/>
    <s v="P1226329"/>
    <s v="LB319 STERILIZER &amp; STIMER"/>
    <x v="3"/>
    <n v="274054"/>
    <n v="693.99999999999898"/>
    <n v="876.98060435190439"/>
    <n v="761.32686811730161"/>
    <n v="992"/>
    <n v="216"/>
    <n v="84"/>
    <n v="354"/>
    <n v="192"/>
    <n v="258"/>
    <n v="6"/>
    <n v="75"/>
    <n v="1562"/>
    <n v="61.550435118467448"/>
    <n v="1026.2977746451584"/>
    <n v="0"/>
    <n v="700"/>
    <n v="702"/>
    <n v="62.22108249848899"/>
    <n v="192385908"/>
    <n v="190193475.99999973"/>
    <n v="240340042.54505682"/>
    <n v="208644673.51501897"/>
    <n v="52618368"/>
    <n v="428072348"/>
    <n v="246649"/>
    <n v="173147598"/>
    <n v="171174405.99999976"/>
    <n v="216306389.08279288"/>
    <n v="187780510.69426432"/>
    <n v="47356608"/>
    <n v="385265738"/>
    <x v="1"/>
    <n v="702"/>
    <n v="0"/>
    <n v="0"/>
    <n v="0"/>
  </r>
  <r>
    <n v="184"/>
    <x v="2"/>
    <s v="P1226330"/>
    <s v="BLB07 BOWL SLOW COOCER 0.8L"/>
    <x v="1"/>
    <n v="64324"/>
    <n v="81.333333333333769"/>
    <n v="0"/>
    <n v="43.666666666666671"/>
    <n v="132"/>
    <n v="0"/>
    <n v="0"/>
    <n v="0"/>
    <n v="0"/>
    <n v="27"/>
    <n v="9"/>
    <n v="75"/>
    <n v="132"/>
    <n v="90.687022900763353"/>
    <n v="0"/>
    <n v="27"/>
    <n v="0"/>
    <n v="0"/>
    <n v="90.687022900763353"/>
    <n v="0"/>
    <n v="5231685.333333361"/>
    <n v="0"/>
    <n v="2808814.666666667"/>
    <n v="0"/>
    <n v="8490768"/>
    <n v="57892"/>
    <n v="0"/>
    <n v="4708549.3333333582"/>
    <n v="0"/>
    <n v="2527950.666666667"/>
    <n v="0"/>
    <n v="7641744"/>
    <x v="2"/>
    <n v="-27"/>
    <n v="0"/>
    <n v="0"/>
    <n v="0"/>
  </r>
  <r>
    <n v="185"/>
    <x v="2"/>
    <s v="P1226331"/>
    <s v="BLB17 BOWL SLOW COOCER 1.5ML"/>
    <x v="1"/>
    <n v="89189"/>
    <n v="35.999999999999972"/>
    <n v="0"/>
    <n v="31.666666666666668"/>
    <n v="400"/>
    <n v="0"/>
    <n v="0"/>
    <n v="0"/>
    <n v="0"/>
    <n v="8"/>
    <n v="8"/>
    <n v="75"/>
    <n v="400"/>
    <n v="378.94736842105266"/>
    <n v="0"/>
    <n v="8"/>
    <n v="0"/>
    <n v="0"/>
    <n v="378.94736842105266"/>
    <n v="0"/>
    <n v="3210803.9999999977"/>
    <n v="0"/>
    <n v="2824318.3333333335"/>
    <n v="0"/>
    <n v="35675600"/>
    <n v="80270"/>
    <n v="0"/>
    <n v="2889719.9999999977"/>
    <n v="0"/>
    <n v="2541883.3333333335"/>
    <n v="0"/>
    <n v="32108000"/>
    <x v="2"/>
    <n v="-8"/>
    <n v="0"/>
    <n v="0"/>
    <n v="0"/>
  </r>
  <r>
    <n v="186"/>
    <x v="2"/>
    <s v="P1226332"/>
    <s v="LBS02 MULTI STEAMER"/>
    <x v="1"/>
    <n v="262162"/>
    <n v="109.66666666666661"/>
    <n v="153.06722806883599"/>
    <n v="120.355742689612"/>
    <n v="277"/>
    <n v="0"/>
    <n v="24"/>
    <n v="0"/>
    <n v="66"/>
    <n v="78"/>
    <n v="6"/>
    <n v="75"/>
    <n v="277"/>
    <n v="69.045313620230289"/>
    <n v="110.95658479286601"/>
    <n v="36"/>
    <n v="110.95658479286601"/>
    <n v="108"/>
    <n v="74.263038540547882"/>
    <n v="28313496"/>
    <n v="28750432.666666653"/>
    <n v="40128410.644982181"/>
    <n v="31552702.214994062"/>
    <n v="17302692"/>
    <n v="72618874"/>
    <n v="235946"/>
    <n v="25482168"/>
    <n v="25875411.333333321"/>
    <n v="36115600.193929575"/>
    <n v="28397456.064643193"/>
    <n v="15572436"/>
    <n v="65357042"/>
    <x v="1"/>
    <n v="72"/>
    <n v="0"/>
    <n v="0"/>
    <n v="0"/>
  </r>
  <r>
    <n v="187"/>
    <x v="2"/>
    <s v="P1226333"/>
    <s v="HC09B HIGH CHAIR BLUE"/>
    <x v="3"/>
    <n v="305405"/>
    <n v="191.33333333333337"/>
    <n v="299.05201438827368"/>
    <n v="218.35067146275787"/>
    <n v="464"/>
    <n v="46"/>
    <n v="22"/>
    <n v="139"/>
    <n v="32"/>
    <n v="55"/>
    <n v="1"/>
    <n v="75"/>
    <n v="649"/>
    <n v="89.168491535052709"/>
    <n v="163.9286930451683"/>
    <n v="0"/>
    <n v="163.9286930451683"/>
    <n v="164"/>
    <n v="75.009797124188452"/>
    <n v="50086420"/>
    <n v="58434156.666666679"/>
    <n v="91331980.454250723"/>
    <n v="66685386.818083569"/>
    <n v="9772960"/>
    <n v="198207845"/>
    <n v="274865"/>
    <n v="45077860"/>
    <n v="52590836.666666679"/>
    <n v="82198931.934832841"/>
    <n v="60016957.311610945"/>
    <n v="8795680"/>
    <n v="178387385"/>
    <x v="1"/>
    <n v="164"/>
    <n v="0"/>
    <n v="0"/>
    <n v="0"/>
  </r>
  <r>
    <n v="188"/>
    <x v="2"/>
    <s v="P1226334"/>
    <s v="HC09C HIGH CHAIR CREAM"/>
    <x v="3"/>
    <n v="305405"/>
    <n v="191.66666666666501"/>
    <n v="276.91215934279239"/>
    <n v="213.97071978093084"/>
    <n v="410"/>
    <n v="54"/>
    <n v="26"/>
    <n v="55"/>
    <n v="41"/>
    <n v="59"/>
    <n v="1"/>
    <n v="75"/>
    <n v="519"/>
    <n v="72.766965573331703"/>
    <n v="251.83895879511942"/>
    <n v="0"/>
    <n v="251.83895879511942"/>
    <n v="252"/>
    <n v="75.02257895917424"/>
    <n v="76962060"/>
    <n v="58535958.333332829"/>
    <n v="84570358.024085507"/>
    <n v="65347727.674695179"/>
    <n v="12521605"/>
    <n v="158505195"/>
    <n v="274865"/>
    <n v="69265980"/>
    <n v="52682458.333332881"/>
    <n v="76113460.677756637"/>
    <n v="58813061.892585553"/>
    <n v="11269465"/>
    <n v="142654935"/>
    <x v="1"/>
    <n v="252"/>
    <n v="0"/>
    <n v="0"/>
    <n v="0"/>
  </r>
  <r>
    <n v="189"/>
    <x v="2"/>
    <s v="P1226335"/>
    <s v="STE03 DIGITAL STERILIZER &amp; DRYER"/>
    <x v="2"/>
    <n v="470270"/>
    <n v="562.33333333333383"/>
    <n v="642.6215936415058"/>
    <n v="604.87386454716852"/>
    <n v="738"/>
    <n v="124"/>
    <n v="92"/>
    <n v="225"/>
    <n v="128"/>
    <n v="204"/>
    <n v="4"/>
    <n v="75"/>
    <n v="1087"/>
    <n v="53.912066484163738"/>
    <n v="939.80625500942733"/>
    <n v="0"/>
    <n v="600"/>
    <n v="600"/>
    <n v="58.146589317568605"/>
    <n v="282162000"/>
    <n v="264448496.6666669"/>
    <n v="302205656.84179091"/>
    <n v="284454032.28059691"/>
    <n v="60194560"/>
    <n v="511183490"/>
    <n v="423243"/>
    <n v="253945800"/>
    <n v="238003647.00000021"/>
    <n v="271985091.15761185"/>
    <n v="256008629.05253723"/>
    <n v="54175104"/>
    <n v="460065141"/>
    <x v="1"/>
    <n v="600"/>
    <n v="0"/>
    <n v="0"/>
    <n v="0"/>
  </r>
  <r>
    <n v="190"/>
    <x v="2"/>
    <s v="P1226336"/>
    <s v="SC09B -  SILICONE SPOON  BLUE"/>
    <x v="3"/>
    <n v="21081"/>
    <n v="1195.9999999999984"/>
    <n v="1448.6700964735476"/>
    <n v="1139.5566988245159"/>
    <n v="2376"/>
    <n v="324"/>
    <n v="108"/>
    <n v="180"/>
    <n v="468"/>
    <n v="396"/>
    <n v="36"/>
    <n v="75"/>
    <n v="2880"/>
    <n v="75.818956695286829"/>
    <n v="949.56184353483695"/>
    <n v="0"/>
    <n v="949.56184353483695"/>
    <n v="936"/>
    <n v="74.642970545945815"/>
    <n v="19731816"/>
    <n v="25212875.999999966"/>
    <n v="30539414.303758856"/>
    <n v="24022994.767919619"/>
    <n v="9865908"/>
    <n v="60713280"/>
    <n v="18973"/>
    <n v="17758728"/>
    <n v="22691707.99999997"/>
    <n v="27485617.740392618"/>
    <n v="21620809.246797539"/>
    <n v="8879364"/>
    <n v="54642240"/>
    <x v="1"/>
    <n v="936"/>
    <n v="0"/>
    <n v="0"/>
    <n v="0"/>
  </r>
  <r>
    <n v="191"/>
    <x v="2"/>
    <s v="P1226337"/>
    <s v="SC09G -  SILICONE SPOON  GREEN"/>
    <x v="3"/>
    <n v="21081"/>
    <n v="1017.3333333333313"/>
    <n v="1260.9496983246684"/>
    <n v="990.9832327748893"/>
    <n v="1965"/>
    <n v="432"/>
    <n v="180"/>
    <n v="108"/>
    <n v="432"/>
    <n v="360"/>
    <n v="36"/>
    <n v="75"/>
    <n v="2505"/>
    <n v="75.833775501498309"/>
    <n v="801.40778026189128"/>
    <n v="0"/>
    <n v="801.40778026189128"/>
    <n v="792"/>
    <n v="74.715198604252421"/>
    <n v="16696152"/>
    <n v="21446403.999999959"/>
    <n v="26582080.590382334"/>
    <n v="20890917.53012744"/>
    <n v="9106992"/>
    <n v="52807905"/>
    <n v="18973"/>
    <n v="15026616"/>
    <n v="19301865.333333295"/>
    <n v="23923998.626313932"/>
    <n v="18801924.875437975"/>
    <n v="8196336"/>
    <n v="47527365"/>
    <x v="1"/>
    <n v="792"/>
    <n v="0"/>
    <n v="0"/>
    <n v="0"/>
  </r>
  <r>
    <n v="192"/>
    <x v="2"/>
    <s v="P1226338"/>
    <s v="NT001 NAIL TRIMMER"/>
    <x v="3"/>
    <n v="54865"/>
    <n v="994.99999999999875"/>
    <n v="1113.9440724967674"/>
    <n v="964.31469083225579"/>
    <n v="1688"/>
    <n v="336"/>
    <n v="192"/>
    <n v="98"/>
    <n v="521"/>
    <n v="312"/>
    <n v="24"/>
    <n v="75"/>
    <n v="2122"/>
    <n v="66.01579401954146"/>
    <n v="881.7307995774072"/>
    <n v="0"/>
    <n v="881.7307995774072"/>
    <n v="888"/>
    <n v="75.195035930143803"/>
    <n v="48720120"/>
    <n v="54590674.999999933"/>
    <n v="61116541.537535138"/>
    <n v="52907125.512511715"/>
    <n v="28584665"/>
    <n v="116423530"/>
    <n v="49378"/>
    <n v="43847664"/>
    <n v="49131109.99999994"/>
    <n v="55004330.411745377"/>
    <n v="47615930.803915128"/>
    <n v="25725938"/>
    <n v="104780116"/>
    <x v="1"/>
    <n v="888"/>
    <n v="0"/>
    <n v="0"/>
    <n v="0"/>
  </r>
  <r>
    <n v="193"/>
    <x v="2"/>
    <s v="P1226339"/>
    <s v="SB001 SILICONE BAG"/>
    <x v="1"/>
    <n v="85405"/>
    <n v="1102.000000000005"/>
    <n v="1390.498196788297"/>
    <n v="1027.1660655960986"/>
    <n v="2377"/>
    <n v="168"/>
    <n v="168"/>
    <n v="735"/>
    <n v="144"/>
    <n v="96"/>
    <n v="24"/>
    <n v="75"/>
    <n v="3280"/>
    <n v="95.797557275118123"/>
    <n v="534.41336077854339"/>
    <n v="0"/>
    <n v="534.41336077854339"/>
    <n v="528"/>
    <n v="74.812687714479125"/>
    <n v="45093840"/>
    <n v="94116310.000000432"/>
    <n v="118755498.4967045"/>
    <n v="87725117.8322348"/>
    <n v="12298320"/>
    <n v="280128400"/>
    <n v="76865"/>
    <n v="40584720"/>
    <n v="84705230.000000387"/>
    <n v="106880643.89613245"/>
    <n v="78953119.632044122"/>
    <n v="11068560"/>
    <n v="252117200"/>
    <x v="1"/>
    <n v="528"/>
    <n v="0"/>
    <n v="0"/>
    <n v="0"/>
  </r>
  <r>
    <n v="194"/>
    <x v="2"/>
    <s v="P1226340"/>
    <s v="BIB6B SILICON BIB BLUE"/>
    <x v="1"/>
    <n v="21081"/>
    <n v="513.33333333333417"/>
    <n v="596.61935092881629"/>
    <n v="565.87311697627194"/>
    <n v="837"/>
    <n v="0"/>
    <n v="180"/>
    <n v="31"/>
    <n v="360"/>
    <n v="720"/>
    <n v="60"/>
    <n v="75"/>
    <n v="868"/>
    <n v="46.017383082525726"/>
    <n v="783.30214336949621"/>
    <n v="509"/>
    <n v="783.30214336949621"/>
    <n v="780"/>
    <n v="74.824935487986707"/>
    <n v="16443180"/>
    <n v="10821580.000000017"/>
    <n v="12577332.536930377"/>
    <n v="11929171.178976789"/>
    <n v="7589160"/>
    <n v="18298308"/>
    <n v="18973"/>
    <n v="14798940"/>
    <n v="9739473.3333333489"/>
    <n v="11319658.945172431"/>
    <n v="10736310.648390807"/>
    <n v="6830280"/>
    <n v="16468564"/>
    <x v="1"/>
    <n v="271"/>
    <n v="89"/>
    <n v="89"/>
    <n v="149"/>
  </r>
  <r>
    <n v="195"/>
    <x v="2"/>
    <s v="P1226341"/>
    <s v="BIB6P SILICONE BIB PINK"/>
    <x v="1"/>
    <n v="21081"/>
    <n v="335.99999999999932"/>
    <n v="404.36665914994313"/>
    <n v="384.45555304998106"/>
    <n v="669"/>
    <n v="0"/>
    <n v="0"/>
    <n v="60"/>
    <n v="0"/>
    <n v="480"/>
    <n v="60"/>
    <n v="75"/>
    <n v="729"/>
    <n v="56.885639514112555"/>
    <n v="636.50554177489585"/>
    <n v="420"/>
    <n v="636.50554177489585"/>
    <n v="660"/>
    <n v="76.833329603803364"/>
    <n v="13913460"/>
    <n v="7083215.999999986"/>
    <n v="8524453.5415399503"/>
    <n v="8104707.5138466507"/>
    <n v="0"/>
    <n v="15368049"/>
    <n v="18973"/>
    <n v="12522180"/>
    <n v="6374927.999999987"/>
    <n v="7672048.6240518708"/>
    <n v="7294275.2080172906"/>
    <n v="0"/>
    <n v="13831317"/>
    <x v="1"/>
    <n v="240"/>
    <n v="180"/>
    <n v="240"/>
    <n v="240"/>
  </r>
  <r>
    <n v="196"/>
    <x v="2"/>
    <s v="P1226342"/>
    <s v="BIB6G SILICONE BIB GREEN"/>
    <x v="1"/>
    <n v="21081"/>
    <n v="239.00000000000068"/>
    <n v="355.11749457079679"/>
    <n v="285.03916485693219"/>
    <n v="588"/>
    <n v="120"/>
    <n v="60"/>
    <n v="1"/>
    <n v="180"/>
    <n v="420"/>
    <n v="60"/>
    <n v="75"/>
    <n v="709"/>
    <n v="74.621324443873903"/>
    <n v="178.71540671312732"/>
    <n v="299"/>
    <n v="299"/>
    <n v="300"/>
    <n v="87.765045113826559"/>
    <n v="6324300"/>
    <n v="5038359.000000014"/>
    <n v="7486231.9030469675"/>
    <n v="6008910.6343489876"/>
    <n v="3794580"/>
    <n v="14946429"/>
    <n v="18973"/>
    <n v="5691900"/>
    <n v="4534547.000000013"/>
    <n v="6737644.2244917275"/>
    <n v="5408048.074830574"/>
    <n v="3415140"/>
    <n v="13451857"/>
    <x v="1"/>
    <n v="1"/>
    <n v="0"/>
    <n v="0"/>
    <n v="0"/>
  </r>
  <r>
    <n v="197"/>
    <x v="2"/>
    <s v="P1226343"/>
    <s v="TB05B SILICONE TOOTHBRUSH BLUE"/>
    <x v="3"/>
    <n v="20270"/>
    <n v="1455.9999999999986"/>
    <n v="1553.8246000011447"/>
    <n v="1392.6082000003817"/>
    <n v="2316"/>
    <n v="480"/>
    <n v="96"/>
    <n v="53"/>
    <n v="528"/>
    <n v="432"/>
    <n v="48"/>
    <n v="75"/>
    <n v="2849"/>
    <n v="61.374046196178199"/>
    <n v="1658.3451000020987"/>
    <n v="0"/>
    <n v="1000"/>
    <n v="1008"/>
    <n v="60.990063106006687"/>
    <n v="20432160"/>
    <n v="29513119.999999974"/>
    <n v="31496024.642023206"/>
    <n v="28228168.214007735"/>
    <n v="10702560"/>
    <n v="57749230"/>
    <n v="18243"/>
    <n v="18388944"/>
    <n v="26561807.999999974"/>
    <n v="28346422.177820884"/>
    <n v="25405351.392606962"/>
    <n v="9632304"/>
    <n v="51974307"/>
    <x v="1"/>
    <n v="1008"/>
    <n v="0"/>
    <n v="0"/>
    <n v="0"/>
  </r>
  <r>
    <n v="198"/>
    <x v="2"/>
    <s v="P1226344"/>
    <s v="TB05P SILICONE TOOTHBRUSH PINK"/>
    <x v="3"/>
    <n v="20270"/>
    <n v="942.33333333333462"/>
    <n v="1174.8011032961886"/>
    <n v="1064.2670344320627"/>
    <n v="1704"/>
    <n v="432"/>
    <n v="96"/>
    <n v="100"/>
    <n v="336"/>
    <n v="432"/>
    <n v="48"/>
    <n v="75"/>
    <n v="2236"/>
    <n v="63.029294180662745"/>
    <n v="1263.4686893763455"/>
    <n v="92"/>
    <n v="1000"/>
    <n v="1008"/>
    <n v="67.798742765362249"/>
    <n v="20432160"/>
    <n v="19101096.666666694"/>
    <n v="23813218.363813743"/>
    <n v="21572692.787937909"/>
    <n v="6810720"/>
    <n v="45323720"/>
    <n v="18243"/>
    <n v="18388944"/>
    <n v="17190987.000000022"/>
    <n v="21431896.527432367"/>
    <n v="19415423.50914412"/>
    <n v="6129648"/>
    <n v="40791348"/>
    <x v="1"/>
    <n v="916"/>
    <n v="0"/>
    <n v="0"/>
    <n v="0"/>
  </r>
  <r>
    <n v="199"/>
    <x v="2"/>
    <s v="P1226345"/>
    <s v="FS610 FEEDING SET"/>
    <x v="3"/>
    <n v="70270"/>
    <n v="827.33333333333405"/>
    <n v="1001.2304180204794"/>
    <n v="864.07680600682647"/>
    <n v="1257"/>
    <n v="273"/>
    <n v="126"/>
    <n v="131"/>
    <n v="296"/>
    <n v="266"/>
    <n v="7"/>
    <n v="75"/>
    <n v="1661"/>
    <n v="57.668484622657864"/>
    <n v="1204.4224330375455"/>
    <n v="0"/>
    <n v="1000"/>
    <n v="1001"/>
    <n v="67.937348915394736"/>
    <n v="70340270"/>
    <n v="58136713.333333381"/>
    <n v="70356461.474299088"/>
    <n v="60718677.158099696"/>
    <n v="20799920"/>
    <n v="116718470"/>
    <n v="63243"/>
    <n v="63306243"/>
    <n v="52323042.000000045"/>
    <n v="63320815.326869182"/>
    <n v="54646809.442289725"/>
    <n v="18719928"/>
    <n v="105046623"/>
    <x v="1"/>
    <n v="1001"/>
    <n v="0"/>
    <n v="0"/>
    <n v="0"/>
  </r>
  <r>
    <n v="200"/>
    <x v="2"/>
    <s v="P1226346"/>
    <s v="LB020 SLOW COOKER 1.2L"/>
    <x v="3"/>
    <n v="263784"/>
    <n v="1086.3333333333414"/>
    <n v="1306.02453865814"/>
    <n v="1166.341512886047"/>
    <n v="6671"/>
    <n v="324"/>
    <n v="144"/>
    <n v="1776"/>
    <n v="324"/>
    <n v="522"/>
    <n v="6"/>
    <n v="75"/>
    <n v="8771"/>
    <n v="225.60287625268478"/>
    <n v="0"/>
    <n v="0"/>
    <n v="0"/>
    <n v="0"/>
    <n v="200.34377689434567"/>
    <n v="0"/>
    <n v="286557352.00000215"/>
    <n v="344508376.90539879"/>
    <n v="307662229.63513303"/>
    <n v="85466016"/>
    <n v="2313649464"/>
    <n v="237405"/>
    <n v="0"/>
    <n v="257900965.00000194"/>
    <n v="310056755.60013574"/>
    <n v="276895306.86671197"/>
    <n v="76919220"/>
    <n v="2082279255"/>
    <x v="1"/>
    <n v="0"/>
    <n v="0"/>
    <n v="0"/>
    <n v="29"/>
  </r>
  <r>
    <n v="201"/>
    <x v="2"/>
    <s v="P1226347"/>
    <s v="WNS04 BOTTLE SET 250ML"/>
    <x v="1"/>
    <n v="83784"/>
    <n v="139.66666666666637"/>
    <n v="0"/>
    <n v="73.333333333333343"/>
    <n v="238"/>
    <n v="0"/>
    <n v="0"/>
    <n v="0"/>
    <n v="0"/>
    <n v="96"/>
    <n v="12"/>
    <n v="75"/>
    <n v="238"/>
    <n v="97.36363636363636"/>
    <n v="0"/>
    <n v="96"/>
    <n v="0"/>
    <n v="0"/>
    <n v="97.36363636363636"/>
    <n v="0"/>
    <n v="11701831.999999976"/>
    <n v="0"/>
    <n v="6144160.0000000009"/>
    <n v="0"/>
    <n v="19940592"/>
    <n v="75406"/>
    <n v="0"/>
    <n v="10531704.666666644"/>
    <n v="0"/>
    <n v="5529773.333333334"/>
    <n v="0"/>
    <n v="17946628"/>
    <x v="2"/>
    <n v="-96"/>
    <n v="0"/>
    <n v="0"/>
    <n v="0"/>
  </r>
  <r>
    <n v="202"/>
    <x v="2"/>
    <s v="P1226348"/>
    <s v="BFS02 FOOD SCISSOR"/>
    <x v="1"/>
    <n v="21892"/>
    <n v="215.66666666666649"/>
    <n v="0"/>
    <n v="115.66666666666669"/>
    <n v="331"/>
    <n v="0"/>
    <n v="0"/>
    <n v="0"/>
    <n v="144"/>
    <n v="240"/>
    <n v="48"/>
    <n v="75"/>
    <n v="331"/>
    <n v="85.850144092218997"/>
    <n v="0"/>
    <n v="96"/>
    <n v="0"/>
    <n v="0"/>
    <n v="123.19884726224781"/>
    <n v="0"/>
    <n v="4721374.6666666623"/>
    <n v="0"/>
    <n v="2532174.666666667"/>
    <n v="3152448"/>
    <n v="7246252"/>
    <n v="19703"/>
    <n v="0"/>
    <n v="4249280.3333333302"/>
    <n v="0"/>
    <n v="2278980.3333333335"/>
    <n v="2837232"/>
    <n v="6521693"/>
    <x v="2"/>
    <n v="-96"/>
    <n v="0"/>
    <n v="0"/>
    <n v="0"/>
  </r>
  <r>
    <n v="203"/>
    <x v="2"/>
    <s v="P1226349"/>
    <s v="AP14G GRINDER SET"/>
    <x v="1"/>
    <n v="51622"/>
    <n v="1116.3333333333408"/>
    <n v="1483.9176575133733"/>
    <n v="1088.972552504458"/>
    <n v="2299"/>
    <n v="504"/>
    <n v="120"/>
    <n v="281"/>
    <n v="199"/>
    <n v="168"/>
    <n v="24"/>
    <n v="75"/>
    <n v="3084"/>
    <n v="84.960819064924266"/>
    <n v="923.3490387745187"/>
    <n v="0"/>
    <n v="923.3490387745187"/>
    <n v="912"/>
    <n v="74.687346423514043"/>
    <n v="47079264"/>
    <n v="57627359.333333716"/>
    <n v="76602797.316155359"/>
    <n v="56214941.105385132"/>
    <n v="10272778"/>
    <n v="159202248"/>
    <n v="46459"/>
    <n v="42370608"/>
    <n v="51863730.333333679"/>
    <n v="68941330.450413808"/>
    <n v="50592575.816804618"/>
    <n v="9245341"/>
    <n v="143279556"/>
    <x v="1"/>
    <n v="912"/>
    <n v="0"/>
    <n v="0"/>
    <n v="0"/>
  </r>
  <r>
    <n v="204"/>
    <x v="2"/>
    <s v="P1226350"/>
    <s v="THE01 DIGITAL THERMOMETER"/>
    <x v="3"/>
    <n v="44865"/>
    <n v="1592.0000000000005"/>
    <n v="1840.3145765721376"/>
    <n v="1600.4381921907122"/>
    <n v="2011"/>
    <n v="128"/>
    <n v="420"/>
    <n v="1344"/>
    <n v="870"/>
    <n v="1020"/>
    <n v="30"/>
    <n v="75"/>
    <n v="3483"/>
    <n v="65.288369466472147"/>
    <n v="1488.4100570489181"/>
    <n v="0"/>
    <n v="1488.4100570489181"/>
    <n v="1500"/>
    <n v="75.217251931520394"/>
    <n v="67297500"/>
    <n v="71425080.000000015"/>
    <n v="82565713.477908954"/>
    <n v="71803659.492636308"/>
    <n v="39032550"/>
    <n v="156264795"/>
    <n v="40378"/>
    <n v="60567000"/>
    <n v="64281776.000000015"/>
    <n v="74308221.972829774"/>
    <n v="64622493.324276581"/>
    <n v="35128860"/>
    <n v="140636574"/>
    <x v="1"/>
    <n v="1500"/>
    <n v="0"/>
    <n v="0"/>
    <n v="0"/>
  </r>
  <r>
    <n v="205"/>
    <x v="2"/>
    <s v="P1226353"/>
    <s v="BPC03 BREAST MILK COLLECTOR"/>
    <x v="1"/>
    <n v="31081"/>
    <n v="845.99999999999864"/>
    <n v="0"/>
    <n v="537.33333333333337"/>
    <n v="308"/>
    <n v="1"/>
    <n v="0"/>
    <n v="0"/>
    <n v="0"/>
    <n v="432"/>
    <n v="24"/>
    <n v="75"/>
    <n v="309"/>
    <n v="17.25186104218362"/>
    <n v="1034.3333333333335"/>
    <n v="432"/>
    <n v="0"/>
    <n v="0"/>
    <n v="17.25186104218362"/>
    <n v="0"/>
    <n v="26294525.999999959"/>
    <n v="0"/>
    <n v="16700857.333333334"/>
    <n v="0"/>
    <n v="9604029"/>
    <n v="27973"/>
    <n v="0"/>
    <n v="23665157.999999963"/>
    <n v="0"/>
    <n v="15030825.333333334"/>
    <n v="0"/>
    <n v="8643657"/>
    <x v="2"/>
    <n v="-432"/>
    <n v="0"/>
    <n v="0"/>
    <n v="0"/>
  </r>
  <r>
    <n v="206"/>
    <x v="2"/>
    <s v="P1226354"/>
    <s v="FC10B FOOD CONTAINER BLUE 180ML"/>
    <x v="1"/>
    <n v="24054"/>
    <n v="430.33333333333468"/>
    <n v="479.69643263666183"/>
    <n v="450.23214421222053"/>
    <n v="603"/>
    <n v="150"/>
    <n v="234"/>
    <n v="96"/>
    <n v="288"/>
    <n v="528"/>
    <n v="48"/>
    <n v="75"/>
    <n v="849"/>
    <n v="56.570816471945435"/>
    <n v="468.27679316721333"/>
    <n v="378"/>
    <n v="468.27679316721333"/>
    <n v="480"/>
    <n v="75.781144148645737"/>
    <n v="11545920"/>
    <n v="10351238.000000032"/>
    <n v="11538617.990642263"/>
    <n v="10829883.996880753"/>
    <n v="6927552"/>
    <n v="20421846"/>
    <n v="21649"/>
    <n v="10391520"/>
    <n v="9316286.3333333619"/>
    <n v="10384948.070151092"/>
    <n v="9747075.6900503617"/>
    <n v="6234912"/>
    <n v="18380001"/>
    <x v="1"/>
    <n v="102"/>
    <n v="0"/>
    <n v="48"/>
    <n v="48"/>
  </r>
  <r>
    <n v="207"/>
    <x v="2"/>
    <s v="P1226355"/>
    <s v="FC10C FOOD CONTAINER CREAM 180ML"/>
    <x v="1"/>
    <n v="24054"/>
    <n v="467.99999999999977"/>
    <n v="483.83931233660707"/>
    <n v="475.27977077886902"/>
    <n v="698"/>
    <n v="68"/>
    <n v="96"/>
    <n v="0"/>
    <n v="556"/>
    <n v="576"/>
    <n v="48"/>
    <n v="75"/>
    <n v="766"/>
    <n v="48.35046937163203"/>
    <n v="350.03873928377948"/>
    <n v="116"/>
    <n v="350.03873928377948"/>
    <n v="336"/>
    <n v="74.113864707889405"/>
    <n v="8082144"/>
    <n v="11257271.999999994"/>
    <n v="11638270.818944747"/>
    <n v="11432379.606314916"/>
    <n v="13374024"/>
    <n v="18425364"/>
    <n v="21649"/>
    <n v="7274064"/>
    <n v="10131731.999999994"/>
    <n v="10474637.272775207"/>
    <n v="10289331.757591736"/>
    <n v="12036844"/>
    <n v="16583134"/>
    <x v="1"/>
    <n v="220"/>
    <n v="0"/>
    <n v="0"/>
    <n v="0"/>
  </r>
  <r>
    <n v="208"/>
    <x v="2"/>
    <s v="P1226356"/>
    <s v="FS66B FEEDING SET BLUE"/>
    <x v="2"/>
    <n v="38649"/>
    <n v="1467.6666666666663"/>
    <n v="1657.6437882220212"/>
    <n v="1473.8812627406739"/>
    <n v="1830"/>
    <n v="350"/>
    <n v="160"/>
    <n v="524"/>
    <n v="430"/>
    <n v="710"/>
    <n v="10"/>
    <n v="75"/>
    <n v="2704"/>
    <n v="55.038354886985822"/>
    <n v="2208.3469450737066"/>
    <n v="0"/>
    <n v="1500"/>
    <n v="1500"/>
    <n v="60.582007934142425"/>
    <n v="57973500"/>
    <n v="56723848.999999985"/>
    <n v="64066274.770992897"/>
    <n v="56964036.923664309"/>
    <n v="16619070"/>
    <n v="104506896"/>
    <n v="34784"/>
    <n v="52176000"/>
    <n v="51051317.333333321"/>
    <n v="57659481.529514782"/>
    <n v="51267485.843171604"/>
    <n v="14957120"/>
    <n v="94055936"/>
    <x v="1"/>
    <n v="1500"/>
    <n v="0"/>
    <n v="0"/>
    <n v="0"/>
  </r>
  <r>
    <n v="209"/>
    <x v="2"/>
    <s v="P1226357"/>
    <s v="FS66P FEEDING SET PINK"/>
    <x v="2"/>
    <n v="38649"/>
    <n v="1637.0000000000073"/>
    <n v="1803.8850235099919"/>
    <n v="1667.9616745033304"/>
    <n v="1048"/>
    <n v="470"/>
    <n v="540"/>
    <n v="1071"/>
    <n v="1030"/>
    <n v="1240"/>
    <n v="10"/>
    <n v="75"/>
    <n v="2589"/>
    <n v="46.565818140352555"/>
    <n v="2354.789209768318"/>
    <n v="0"/>
    <n v="1500"/>
    <n v="1500"/>
    <n v="59.625740096405117"/>
    <n v="57973500"/>
    <n v="63268413.000000283"/>
    <n v="69718352.273637682"/>
    <n v="64465050.75787922"/>
    <n v="39808470"/>
    <n v="100062261"/>
    <n v="34784"/>
    <n v="52176000"/>
    <n v="56941408.000000253"/>
    <n v="62746336.657771558"/>
    <n v="58018378.885923848"/>
    <n v="35827520"/>
    <n v="90055776"/>
    <x v="1"/>
    <n v="1500"/>
    <n v="0"/>
    <n v="0"/>
    <n v="0"/>
  </r>
  <r>
    <n v="210"/>
    <x v="2"/>
    <s v="P1226358"/>
    <s v="FS66W FEEDING SET WHITE"/>
    <x v="2"/>
    <n v="38649"/>
    <n v="1132.000000000005"/>
    <n v="1300.3279600998021"/>
    <n v="1156.7759866999343"/>
    <n v="1663"/>
    <n v="330"/>
    <n v="120"/>
    <n v="230"/>
    <n v="280"/>
    <n v="310"/>
    <n v="10"/>
    <n v="75"/>
    <n v="2223"/>
    <n v="57.651611692125549"/>
    <n v="1689.2679268496377"/>
    <n v="0"/>
    <n v="1000"/>
    <n v="1000"/>
    <n v="57.124423360066707"/>
    <n v="38649000"/>
    <n v="43750668.000000194"/>
    <n v="50256375.329897255"/>
    <n v="44708235.109965757"/>
    <n v="10821720"/>
    <n v="85916727"/>
    <n v="34784"/>
    <n v="34784000"/>
    <n v="39375488.000000171"/>
    <n v="45230607.764111519"/>
    <n v="40237295.921370514"/>
    <n v="9739520"/>
    <n v="77324832"/>
    <x v="1"/>
    <n v="1000"/>
    <n v="0"/>
    <n v="0"/>
    <n v="0"/>
  </r>
  <r>
    <n v="211"/>
    <x v="2"/>
    <s v="P1226359"/>
    <s v="TRI5B TRITAN BOTTLE BLUE"/>
    <x v="3"/>
    <n v="60541"/>
    <n v="271.00000000000193"/>
    <n v="389.7471288790307"/>
    <n v="308.58237629301021"/>
    <n v="803"/>
    <n v="50"/>
    <n v="30"/>
    <n v="30"/>
    <n v="60"/>
    <n v="40"/>
    <n v="10"/>
    <n v="75"/>
    <n v="883"/>
    <n v="85.844176580086923"/>
    <n v="218.2030696115562"/>
    <n v="0"/>
    <n v="218.2030696115562"/>
    <n v="220"/>
    <n v="75.174695367573818"/>
    <n v="13319020"/>
    <n v="16406611.000000117"/>
    <n v="23595680.929465398"/>
    <n v="18681885.643155131"/>
    <n v="3632460"/>
    <n v="53457703"/>
    <n v="54487"/>
    <n v="11987140"/>
    <n v="14765977.000000106"/>
    <n v="21236151.811231747"/>
    <n v="16813727.937077247"/>
    <n v="3269220"/>
    <n v="48112021"/>
    <x v="1"/>
    <n v="220"/>
    <n v="0"/>
    <n v="0"/>
    <n v="0"/>
  </r>
  <r>
    <n v="212"/>
    <x v="2"/>
    <s v="P1226360"/>
    <s v="TRI5P TRITAN BOTTLE PINK"/>
    <x v="3"/>
    <n v="60541"/>
    <n v="255.33333333333229"/>
    <n v="354.12715775070575"/>
    <n v="286.70905258356862"/>
    <n v="709"/>
    <n v="50"/>
    <n v="20"/>
    <n v="50"/>
    <n v="40"/>
    <n v="40"/>
    <n v="10"/>
    <n v="75"/>
    <n v="809"/>
    <n v="84.650274490115351"/>
    <n v="221.89978920962722"/>
    <n v="0"/>
    <n v="221.89978920962722"/>
    <n v="220"/>
    <n v="74.801214242189971"/>
    <n v="13319020"/>
    <n v="15458135.333333271"/>
    <n v="21439212.257385477"/>
    <n v="17357652.752461828"/>
    <n v="2421640"/>
    <n v="48977669"/>
    <n v="54487"/>
    <n v="11987140"/>
    <n v="13912347.333333276"/>
    <n v="19295326.444362704"/>
    <n v="15621916.148120904"/>
    <n v="2179480"/>
    <n v="44079983"/>
    <x v="1"/>
    <n v="220"/>
    <n v="0"/>
    <n v="0"/>
    <n v="0"/>
  </r>
  <r>
    <n v="213"/>
    <x v="2"/>
    <s v="P1226361"/>
    <s v="LBV02 UVC STERILIZER 20L"/>
    <x v="3"/>
    <n v="572973"/>
    <n v="408.66666666666652"/>
    <n v="465.24213119391254"/>
    <n v="402.74737706463759"/>
    <n v="650"/>
    <n v="148"/>
    <n v="40"/>
    <n v="120"/>
    <n v="92"/>
    <n v="80"/>
    <n v="4"/>
    <n v="75"/>
    <n v="918"/>
    <n v="68.380333599491223"/>
    <n v="462.11057385550657"/>
    <n v="0"/>
    <n v="462.11057385550657"/>
    <n v="464"/>
    <n v="75.140740294196149"/>
    <n v="265859472"/>
    <n v="234154965.99999991"/>
    <n v="266571179.63656965"/>
    <n v="230763372.8788566"/>
    <n v="52713516"/>
    <n v="525989214"/>
    <n v="515676"/>
    <n v="239273664"/>
    <n v="210739591.99999991"/>
    <n v="239914201.24555203"/>
    <n v="207687156.41518405"/>
    <n v="47442192"/>
    <n v="473390568"/>
    <x v="1"/>
    <n v="464"/>
    <n v="0"/>
    <n v="0"/>
    <n v="0"/>
  </r>
  <r>
    <n v="214"/>
    <x v="2"/>
    <s v="P1226362"/>
    <s v="DB05U CUP WEIGHTED STRAW 300ML UNGU"/>
    <x v="2"/>
    <n v="36486"/>
    <n v="634.00000000000182"/>
    <n v="717.15566633646381"/>
    <n v="606.05188877882119"/>
    <n v="975"/>
    <n v="264"/>
    <n v="84"/>
    <n v="228"/>
    <n v="192"/>
    <n v="120"/>
    <n v="12"/>
    <n v="75"/>
    <n v="1467"/>
    <n v="72.617544495536521"/>
    <n v="573.28538828351702"/>
    <n v="0"/>
    <n v="573.28538828351702"/>
    <n v="576"/>
    <n v="75.134375212753795"/>
    <n v="21015936"/>
    <n v="23132124.000000067"/>
    <n v="26166141.64195222"/>
    <n v="22112409.213984068"/>
    <n v="7005312"/>
    <n v="53524962"/>
    <n v="32838"/>
    <n v="18914688"/>
    <n v="20819292.00000006"/>
    <n v="23549957.771156799"/>
    <n v="19901531.923718929"/>
    <n v="6304896"/>
    <n v="48173346"/>
    <x v="1"/>
    <n v="576"/>
    <n v="0"/>
    <n v="0"/>
    <n v="0"/>
  </r>
  <r>
    <n v="215"/>
    <x v="2"/>
    <s v="P1226363"/>
    <s v="DB05B CUP WEIGHTED STRAW 300ML BIRU"/>
    <x v="2"/>
    <n v="36486"/>
    <n v="585.33333333333348"/>
    <n v="670.19290409978771"/>
    <n v="557.73096803326257"/>
    <n v="1066"/>
    <n v="204"/>
    <n v="48"/>
    <n v="204"/>
    <n v="108"/>
    <n v="108"/>
    <n v="12"/>
    <n v="75"/>
    <n v="1474"/>
    <n v="79.285538251415076"/>
    <n v="482.52032418294402"/>
    <n v="0"/>
    <n v="482.52032418294402"/>
    <n v="480"/>
    <n v="74.864433338254557"/>
    <n v="17513280"/>
    <n v="21356472.000000004"/>
    <n v="24452658.298984855"/>
    <n v="20349372.099661618"/>
    <n v="3940488"/>
    <n v="53780364"/>
    <n v="32838"/>
    <n v="15762240"/>
    <n v="19221176.000000004"/>
    <n v="22007794.584828828"/>
    <n v="18314769.528276276"/>
    <n v="3546504"/>
    <n v="48403212"/>
    <x v="1"/>
    <n v="480"/>
    <n v="0"/>
    <n v="0"/>
    <n v="0"/>
  </r>
  <r>
    <n v="216"/>
    <x v="2"/>
    <s v="P1226364"/>
    <s v="DB05O CUP WEIGHTED STRAW 300ML OREN"/>
    <x v="2"/>
    <n v="36486"/>
    <n v="561.3333333333336"/>
    <n v="673.15040288026148"/>
    <n v="554.05013429342057"/>
    <n v="1021"/>
    <n v="168"/>
    <n v="72"/>
    <n v="317"/>
    <n v="120"/>
    <n v="132"/>
    <n v="12"/>
    <n v="75"/>
    <n v="1506"/>
    <n v="81.544967149259875"/>
    <n v="432.27573861381279"/>
    <n v="0"/>
    <n v="432.27573861381279"/>
    <n v="432"/>
    <n v="74.985069657234291"/>
    <n v="15761952"/>
    <n v="20480808.000000011"/>
    <n v="24560565.599489219"/>
    <n v="20215073.199829742"/>
    <n v="4378320"/>
    <n v="54947916"/>
    <n v="32838"/>
    <n v="14186016"/>
    <n v="18433064.000000007"/>
    <n v="22104912.929782026"/>
    <n v="18193898.309927344"/>
    <n v="3940560"/>
    <n v="49454028"/>
    <x v="1"/>
    <n v="432"/>
    <n v="0"/>
    <n v="0"/>
    <n v="0"/>
  </r>
  <r>
    <n v="217"/>
    <x v="2"/>
    <s v="P1226365"/>
    <s v="DB06U SOFT SPOUT CUP 210ML UNGU"/>
    <x v="2"/>
    <n v="37568"/>
    <n v="229.6666666666685"/>
    <n v="322.28328992580242"/>
    <n v="231.76109664193413"/>
    <n v="803"/>
    <n v="0"/>
    <n v="36"/>
    <n v="12"/>
    <n v="72"/>
    <n v="84"/>
    <n v="12"/>
    <n v="75"/>
    <n v="815"/>
    <n v="105.49656674163361"/>
    <n v="14.68603153063782"/>
    <n v="36"/>
    <n v="36"/>
    <n v="36"/>
    <n v="77.758957665223505"/>
    <n v="1352448"/>
    <n v="8628117.3333334029"/>
    <n v="12107538.635932546"/>
    <n v="8706800.8786441814"/>
    <n v="2704896"/>
    <n v="30617920"/>
    <n v="33811"/>
    <n v="1217196"/>
    <n v="7765259.6666667284"/>
    <n v="10896720.315681305"/>
    <n v="7836074.4385604346"/>
    <n v="2434392"/>
    <n v="27555965"/>
    <x v="1"/>
    <n v="0"/>
    <n v="0"/>
    <n v="0"/>
    <n v="0"/>
  </r>
  <r>
    <n v="218"/>
    <x v="2"/>
    <s v="P1226366"/>
    <s v="DB06B SOFT SPOUT CUP 210ML BIRU"/>
    <x v="2"/>
    <n v="37568"/>
    <n v="286.66666666666566"/>
    <n v="370.0608728487403"/>
    <n v="294.35362428291342"/>
    <n v="754"/>
    <n v="36"/>
    <n v="24"/>
    <n v="12"/>
    <n v="84"/>
    <n v="72"/>
    <n v="12"/>
    <n v="75"/>
    <n v="802"/>
    <n v="81.738419421923282"/>
    <n v="219.9449335560239"/>
    <n v="0"/>
    <n v="219.9449335560239"/>
    <n v="216"/>
    <n v="74.597939359608617"/>
    <n v="8114688"/>
    <n v="10769493.333333295"/>
    <n v="13902446.871181475"/>
    <n v="11058276.957060492"/>
    <n v="3155712"/>
    <n v="30129536"/>
    <n v="33811"/>
    <n v="7303176"/>
    <n v="9692486.6666666325"/>
    <n v="12512128.171888757"/>
    <n v="9952390.3906295858"/>
    <n v="2840124"/>
    <n v="27116422"/>
    <x v="1"/>
    <n v="216"/>
    <n v="0"/>
    <n v="0"/>
    <n v="12"/>
  </r>
  <r>
    <n v="219"/>
    <x v="2"/>
    <s v="P1226367"/>
    <s v="DB06O SOFT SPOUT CUP 210ML OREN"/>
    <x v="2"/>
    <n v="37568"/>
    <n v="221.99999999999841"/>
    <n v="298.67977273307451"/>
    <n v="222.89325757769151"/>
    <n v="765"/>
    <n v="12"/>
    <n v="12"/>
    <n v="0"/>
    <n v="60"/>
    <n v="60"/>
    <n v="12"/>
    <n v="75"/>
    <n v="777"/>
    <n v="104.57920644762027"/>
    <n v="18.912916677303315"/>
    <n v="12"/>
    <n v="18.912916677303315"/>
    <n v="24"/>
    <n v="75.684688722034167"/>
    <n v="901632"/>
    <n v="8340095.9999999404"/>
    <n v="11220801.702036144"/>
    <n v="8373653.9006787147"/>
    <n v="2254080"/>
    <n v="29190336"/>
    <n v="33811"/>
    <n v="811464"/>
    <n v="7506041.999999946"/>
    <n v="10098661.795877982"/>
    <n v="7536243.9319593282"/>
    <n v="2028660"/>
    <n v="26271147"/>
    <x v="1"/>
    <n v="12"/>
    <n v="0"/>
    <n v="0"/>
    <n v="0"/>
  </r>
  <r>
    <n v="220"/>
    <x v="2"/>
    <s v="P1226368"/>
    <s v="DB07B CUP WEIGHTED STRAW 370ML BLUE"/>
    <x v="2"/>
    <n v="40811"/>
    <n v="593.99999999999989"/>
    <n v="675.0236792986168"/>
    <n v="555.34122643287219"/>
    <n v="983"/>
    <n v="240"/>
    <n v="72"/>
    <n v="180"/>
    <n v="168"/>
    <n v="108"/>
    <n v="12"/>
    <n v="75"/>
    <n v="1403"/>
    <n v="75.791239685836118"/>
    <n v="492.37674538079727"/>
    <n v="0"/>
    <n v="492.37674538079727"/>
    <n v="492"/>
    <n v="74.979647897750155"/>
    <n v="20079012"/>
    <n v="24241733.999999996"/>
    <n v="27548391.375855852"/>
    <n v="22664030.791951947"/>
    <n v="6856248"/>
    <n v="57257833"/>
    <n v="36730"/>
    <n v="18071160"/>
    <n v="21817619.999999996"/>
    <n v="24793619.740638196"/>
    <n v="20397683.246879395"/>
    <n v="6170640"/>
    <n v="51532190"/>
    <x v="1"/>
    <n v="492"/>
    <n v="0"/>
    <n v="0"/>
    <n v="0"/>
  </r>
  <r>
    <n v="221"/>
    <x v="2"/>
    <s v="P1226369"/>
    <s v="DB07P CUP WEIGHTED STRAW 370ML PINK"/>
    <x v="2"/>
    <n v="40811"/>
    <n v="490.99999999999926"/>
    <n v="581.84102534105477"/>
    <n v="481.94700844701839"/>
    <n v="927"/>
    <n v="216"/>
    <n v="60"/>
    <n v="87"/>
    <n v="96"/>
    <n v="60"/>
    <n v="12"/>
    <n v="75"/>
    <n v="1230"/>
    <n v="76.564434166534525"/>
    <n v="460.70854645860072"/>
    <n v="0"/>
    <n v="460.70854645860072"/>
    <n v="456"/>
    <n v="74.706904719227964"/>
    <n v="18609816"/>
    <n v="20038200.99999997"/>
    <n v="23745514.085193787"/>
    <n v="19668739.361731268"/>
    <n v="3917856"/>
    <n v="50197530"/>
    <n v="36730"/>
    <n v="16748880"/>
    <n v="18034429.999999974"/>
    <n v="21371020.860776942"/>
    <n v="17701913.620258987"/>
    <n v="3526080"/>
    <n v="45177900"/>
    <x v="1"/>
    <n v="456"/>
    <n v="0"/>
    <n v="0"/>
    <n v="0"/>
  </r>
  <r>
    <n v="222"/>
    <x v="2"/>
    <s v="P1226370"/>
    <s v="DB07G CUP WEIGHTED STRAW 370ML GREEN"/>
    <x v="2"/>
    <n v="40811"/>
    <n v="407.00000000000068"/>
    <n v="547.52242103906963"/>
    <n v="413.84080701302327"/>
    <n v="968"/>
    <n v="132"/>
    <n v="48"/>
    <n v="135"/>
    <n v="72"/>
    <n v="48"/>
    <n v="12"/>
    <n v="75"/>
    <n v="1235"/>
    <n v="89.527178983183418"/>
    <n v="275.12443857162771"/>
    <n v="0"/>
    <n v="275.12443857162771"/>
    <n v="276"/>
    <n v="75.063470886403763"/>
    <n v="11263836"/>
    <n v="16610077.000000028"/>
    <n v="22344937.525025472"/>
    <n v="16889257.175008491"/>
    <n v="2938392"/>
    <n v="50401585"/>
    <n v="36730"/>
    <n v="10137480"/>
    <n v="14949110.000000024"/>
    <n v="20110498.524765026"/>
    <n v="15200372.841588344"/>
    <n v="2644560"/>
    <n v="45361550"/>
    <x v="1"/>
    <n v="276"/>
    <n v="0"/>
    <n v="0"/>
    <n v="0"/>
  </r>
  <r>
    <n v="223"/>
    <x v="2"/>
    <s v="P1226371"/>
    <s v="WNS03 BOTTLE SET 125 ML"/>
    <x v="1"/>
    <n v="81081"/>
    <n v="161.66666666666583"/>
    <n v="228.80352279076462"/>
    <n v="170.93450759692152"/>
    <n v="505"/>
    <n v="12"/>
    <n v="24"/>
    <n v="0"/>
    <n v="60"/>
    <n v="84"/>
    <n v="12"/>
    <n v="75"/>
    <n v="517"/>
    <n v="90.736506151080576"/>
    <n v="79.139791783068404"/>
    <n v="48"/>
    <n v="79.139791783068404"/>
    <n v="84"/>
    <n v="75.852994802265272"/>
    <n v="6810804"/>
    <n v="13108094.999999933"/>
    <n v="18551618.431397986"/>
    <n v="13859540.810465993"/>
    <n v="4864860"/>
    <n v="41918877"/>
    <n v="72973"/>
    <n v="6129732"/>
    <n v="11797301.666666606"/>
    <n v="16696479.468610466"/>
    <n v="12473603.822870154"/>
    <n v="4378380"/>
    <n v="37727041"/>
    <x v="1"/>
    <n v="36"/>
    <n v="0"/>
    <n v="0"/>
    <n v="0"/>
  </r>
  <r>
    <n v="224"/>
    <x v="2"/>
    <s v="P1226372"/>
    <s v="BPM08 BREAST MILK SAVER PUMP"/>
    <x v="3"/>
    <n v="28108"/>
    <n v="718.99999999999693"/>
    <n v="773.58467890560155"/>
    <n v="719.86155963520048"/>
    <n v="979"/>
    <n v="180"/>
    <n v="108"/>
    <n v="248"/>
    <n v="144"/>
    <n v="240"/>
    <n v="12"/>
    <n v="75"/>
    <n v="1407"/>
    <n v="58.636274482263623"/>
    <n v="1022.238577993603"/>
    <n v="0"/>
    <n v="1022.238577993603"/>
    <n v="1020"/>
    <n v="74.906707978903441"/>
    <n v="28670160"/>
    <n v="20209651.999999914"/>
    <n v="21743918.15467865"/>
    <n v="20233868.718226217"/>
    <n v="4047552"/>
    <n v="39547956"/>
    <n v="25297"/>
    <n v="25802940"/>
    <n v="18188542.999999922"/>
    <n v="19569371.622275002"/>
    <n v="18210337.874091666"/>
    <n v="3642768"/>
    <n v="35592879"/>
    <x v="1"/>
    <n v="1020"/>
    <n v="0"/>
    <n v="0"/>
    <n v="0"/>
  </r>
  <r>
    <n v="225"/>
    <x v="2"/>
    <s v="P1226373"/>
    <s v="BPM09 BREAST MILK RELIEVER"/>
    <x v="1"/>
    <n v="12162"/>
    <n v="260.66666666666623"/>
    <n v="493.81090858663362"/>
    <n v="327.27030286221111"/>
    <n v="772"/>
    <n v="72"/>
    <n v="72"/>
    <n v="0"/>
    <n v="288"/>
    <n v="288"/>
    <n v="24"/>
    <n v="75"/>
    <n v="844"/>
    <n v="77.367239797068748"/>
    <n v="179.98666574216145"/>
    <n v="72"/>
    <n v="179.98666574216145"/>
    <n v="168"/>
    <n v="73.901214167249876"/>
    <n v="2043216"/>
    <n v="3170227.9999999949"/>
    <n v="6005728.2702306379"/>
    <n v="3980261.4234102117"/>
    <n v="3502656"/>
    <n v="10264728"/>
    <n v="10946"/>
    <n v="1838928"/>
    <n v="2853257.3333333284"/>
    <n v="5405254.205389292"/>
    <n v="3582300.7351297629"/>
    <n v="3152448"/>
    <n v="9238424"/>
    <x v="1"/>
    <n v="96"/>
    <n v="0"/>
    <n v="0"/>
    <n v="0"/>
  </r>
  <r>
    <n v="226"/>
    <x v="2"/>
    <s v="P1226374"/>
    <s v="BPM1B BREAST  PUMP MANUAL"/>
    <x v="2"/>
    <n v="71892"/>
    <n v="1562.9999999999991"/>
    <n v="1802.4746702514631"/>
    <n v="1565.1582234171547"/>
    <n v="1499"/>
    <n v="240"/>
    <n v="312"/>
    <n v="0"/>
    <n v="2258"/>
    <n v="1272"/>
    <n v="24"/>
    <n v="75"/>
    <n v="1739"/>
    <n v="33.332093343316487"/>
    <n v="1718.3702287943497"/>
    <n v="0"/>
    <n v="1718.3702287943497"/>
    <n v="1728"/>
    <n v="75.184577592122778"/>
    <n v="124229376"/>
    <n v="112367195.99999994"/>
    <n v="129583508.99371818"/>
    <n v="112522354.99790609"/>
    <n v="162332136"/>
    <n v="125020188"/>
    <n v="64703"/>
    <n v="111806784"/>
    <n v="101130788.99999994"/>
    <n v="116625518.58928041"/>
    <n v="101270432.52976015"/>
    <n v="146099374"/>
    <n v="112518517"/>
    <x v="1"/>
    <n v="1728"/>
    <n v="0"/>
    <n v="0"/>
    <n v="0"/>
  </r>
  <r>
    <n v="227"/>
    <x v="2"/>
    <s v="P1226375"/>
    <s v="BPE5B WEARABLE BREAST  PUMP"/>
    <x v="3"/>
    <n v="255676"/>
    <n v="562.99999999999955"/>
    <n v="689.9852898680449"/>
    <n v="581.32842995601504"/>
    <n v="1083"/>
    <n v="96"/>
    <n v="96"/>
    <n v="96"/>
    <n v="216"/>
    <n v="288"/>
    <n v="24"/>
    <n v="75"/>
    <n v="1275"/>
    <n v="65.797573331987394"/>
    <n v="652.30636475808251"/>
    <n v="72"/>
    <n v="652.30636475808251"/>
    <n v="648"/>
    <n v="74.777765999243741"/>
    <n v="165678048"/>
    <n v="143945587.99999988"/>
    <n v="176412678.97230226"/>
    <n v="148631727.65743411"/>
    <n v="55226016"/>
    <n v="325986900"/>
    <n v="230108"/>
    <n v="149109984"/>
    <n v="129550803.9999999"/>
    <n v="158771135.08095607"/>
    <n v="133768322.36031871"/>
    <n v="49703328"/>
    <n v="293387700"/>
    <x v="1"/>
    <n v="576"/>
    <n v="0"/>
    <n v="0"/>
    <n v="24"/>
  </r>
  <r>
    <n v="228"/>
    <x v="2"/>
    <s v="P1226376"/>
    <s v="LB15D BABY FOOD STEAMER"/>
    <x v="1"/>
    <n v="678378"/>
    <n v="154.99999999999966"/>
    <n v="201.25714647787069"/>
    <n v="166.75238215929022"/>
    <n v="508"/>
    <n v="48"/>
    <n v="12"/>
    <n v="0"/>
    <n v="30"/>
    <n v="54"/>
    <n v="6"/>
    <n v="75"/>
    <n v="556"/>
    <n v="100.02855601826683"/>
    <n v="32.138101876096243"/>
    <n v="36"/>
    <n v="36"/>
    <n v="36"/>
    <n v="75.694784339611047"/>
    <n v="24421608"/>
    <n v="105148589.99999976"/>
    <n v="136528420.51336497"/>
    <n v="113121147.50445499"/>
    <n v="20351340"/>
    <n v="377178168"/>
    <n v="610540"/>
    <n v="21979440"/>
    <n v="94633699.999999791"/>
    <n v="122875538.21059917"/>
    <n v="101808999.40353306"/>
    <n v="18316200"/>
    <n v="339460240"/>
    <x v="1"/>
    <n v="0"/>
    <n v="0"/>
    <n v="0"/>
    <n v="0"/>
  </r>
  <r>
    <n v="229"/>
    <x v="2"/>
    <s v="P1226377"/>
    <s v="LB021 CLAYPOT SLOW COOKER 2L"/>
    <x v="3"/>
    <n v="337838"/>
    <n v="501.33333333333701"/>
    <n v="621.39727197879984"/>
    <n v="475.79909065959993"/>
    <n v="938"/>
    <n v="168"/>
    <n v="72"/>
    <n v="314"/>
    <n v="96"/>
    <n v="72"/>
    <n v="6"/>
    <n v="75"/>
    <n v="1420"/>
    <n v="89.533588517253463"/>
    <n v="294.89499862779962"/>
    <n v="0"/>
    <n v="294.89499862779962"/>
    <n v="294"/>
    <n v="74.943568705024703"/>
    <n v="99324372"/>
    <n v="169369450.66666791"/>
    <n v="209931611.57077378"/>
    <n v="160743013.19025791"/>
    <n v="32432448"/>
    <n v="479729960"/>
    <n v="304054"/>
    <n v="89391876"/>
    <n v="152432405.33333445"/>
    <n v="188938326.134242"/>
    <n v="144668616.71141401"/>
    <n v="29189184"/>
    <n v="431756680"/>
    <x v="1"/>
    <n v="294"/>
    <n v="0"/>
    <n v="0"/>
    <n v="0"/>
  </r>
  <r>
    <n v="230"/>
    <x v="2"/>
    <s v="P1226378"/>
    <s v="LBW03 SMART DOUBLE MILK WARMER"/>
    <x v="3"/>
    <n v="221081"/>
    <n v="564.66666666666663"/>
    <n v="844.11986312423574"/>
    <n v="681.37328770807869"/>
    <n v="942"/>
    <n v="180"/>
    <n v="96"/>
    <n v="0"/>
    <n v="300"/>
    <n v="300"/>
    <n v="12"/>
    <n v="75"/>
    <n v="1122"/>
    <n v="49.400234214084691"/>
    <n v="1125.5530823944327"/>
    <n v="96"/>
    <n v="700"/>
    <n v="696"/>
    <n v="56.087323638442975"/>
    <n v="153872376"/>
    <n v="124837071.33333333"/>
    <n v="186618863.45936915"/>
    <n v="150638687.81978974"/>
    <n v="66324300"/>
    <n v="248052882"/>
    <n v="198973"/>
    <n v="138485208"/>
    <n v="112353420.66666666"/>
    <n v="167957061.52541855"/>
    <n v="135574887.17513955"/>
    <n v="59691900"/>
    <n v="223247706"/>
    <x v="1"/>
    <n v="600"/>
    <n v="0"/>
    <n v="0"/>
    <n v="0"/>
  </r>
  <r>
    <n v="231"/>
    <x v="2"/>
    <s v="P1226379"/>
    <s v="DB08B TRAINING CUP 250 ML BLUE"/>
    <x v="2"/>
    <n v="19189"/>
    <n v="417.00000000000063"/>
    <n v="485.27922447700541"/>
    <n v="430.42640815900182"/>
    <n v="523"/>
    <n v="120"/>
    <n v="96"/>
    <n v="84"/>
    <n v="192"/>
    <n v="324"/>
    <n v="12"/>
    <n v="75"/>
    <n v="727"/>
    <n v="50.670682807973222"/>
    <n v="642.34524487451017"/>
    <n v="144"/>
    <n v="642.34524487451017"/>
    <n v="648"/>
    <n v="75.394126964677412"/>
    <n v="12434472"/>
    <n v="8001813.0000000121"/>
    <n v="9312023.0384892561"/>
    <n v="8259452.3461630857"/>
    <n v="3684288"/>
    <n v="13950403"/>
    <n v="17270"/>
    <n v="11190960"/>
    <n v="7201590.0000000112"/>
    <n v="8380772.2067178832"/>
    <n v="7433464.0689059617"/>
    <n v="3315840"/>
    <n v="12555290"/>
    <x v="1"/>
    <n v="504"/>
    <n v="0"/>
    <n v="12"/>
    <n v="84"/>
  </r>
  <r>
    <n v="232"/>
    <x v="2"/>
    <s v="P1226380"/>
    <s v="DB08P TRAINING CUP 250 ML PINK"/>
    <x v="2"/>
    <n v="19189"/>
    <n v="389.99999999999966"/>
    <n v="471.76935776551625"/>
    <n v="403.58978592183871"/>
    <n v="509"/>
    <n v="168"/>
    <n v="120"/>
    <n v="73"/>
    <n v="228"/>
    <n v="252"/>
    <n v="12"/>
    <n v="75"/>
    <n v="750"/>
    <n v="55.74967649046863"/>
    <n v="502.74382257011302"/>
    <n v="71"/>
    <n v="502.74382257011302"/>
    <n v="504"/>
    <n v="75.093375313774445"/>
    <n v="9671256"/>
    <n v="7483709.9999999935"/>
    <n v="9052782.2061624918"/>
    <n v="7744484.4020541627"/>
    <n v="4375092"/>
    <n v="14391750"/>
    <n v="17270"/>
    <n v="8704080"/>
    <n v="6735299.9999999944"/>
    <n v="8147456.8086104654"/>
    <n v="6969995.6028701542"/>
    <n v="3937560"/>
    <n v="12952500"/>
    <x v="1"/>
    <n v="433"/>
    <n v="0"/>
    <n v="0"/>
    <n v="0"/>
  </r>
  <r>
    <n v="233"/>
    <x v="2"/>
    <s v="P1226381"/>
    <s v="DB08C TRAINING CUP 250 ML CREAM"/>
    <x v="2"/>
    <n v="19189"/>
    <n v="397.33333333333223"/>
    <n v="490.80867009275471"/>
    <n v="412.93622336425159"/>
    <n v="582"/>
    <n v="108"/>
    <n v="96"/>
    <n v="84"/>
    <n v="180"/>
    <n v="288"/>
    <n v="12"/>
    <n v="75"/>
    <n v="774"/>
    <n v="56.231443710177025"/>
    <n v="569.14922850338371"/>
    <n v="120"/>
    <n v="569.14922850338371"/>
    <n v="564"/>
    <n v="74.625906262611295"/>
    <n v="10822596"/>
    <n v="7624429.3333333125"/>
    <n v="9418127.5704098698"/>
    <n v="7923833.1901366236"/>
    <n v="3454020"/>
    <n v="14852286"/>
    <n v="17270"/>
    <n v="9740280"/>
    <n v="6861946.6666666474"/>
    <n v="8476265.7325018737"/>
    <n v="7131408.5775006246"/>
    <n v="3108600"/>
    <n v="13366980"/>
    <x v="1"/>
    <n v="444"/>
    <n v="0"/>
    <n v="0"/>
    <n v="24"/>
  </r>
  <r>
    <n v="234"/>
    <x v="2"/>
    <s v="P1226382"/>
    <s v="WN40B BOTTLE OFF CENTER BIRU 150ML"/>
    <x v="4"/>
    <n v="31351"/>
    <n v="272.33333333333388"/>
    <n v="388.02382883841886"/>
    <n v="295.34127627947294"/>
    <n v="945"/>
    <n v="36"/>
    <n v="36"/>
    <n v="48"/>
    <n v="0"/>
    <n v="84"/>
    <n v="12"/>
    <n v="75"/>
    <n v="1029"/>
    <n v="104.52314823339698"/>
    <n v="97.377019537101205"/>
    <n v="72"/>
    <n v="97.377019537101205"/>
    <n v="96"/>
    <n v="74.860125930809801"/>
    <n v="3009696"/>
    <n v="8537922.3333333507"/>
    <n v="12164935.05791327"/>
    <n v="9259244.3526377566"/>
    <n v="0"/>
    <n v="32260179"/>
    <n v="28216"/>
    <n v="2708736"/>
    <n v="7684157.3333333489"/>
    <n v="10948480.354504827"/>
    <n v="8333349.4515016088"/>
    <n v="0"/>
    <n v="29034264"/>
    <x v="1"/>
    <n v="24"/>
    <n v="24"/>
    <n v="24"/>
    <n v="36"/>
  </r>
  <r>
    <n v="235"/>
    <x v="2"/>
    <s v="P1226383"/>
    <s v="WN40P BOTTLE OFF CENTER PINK 150ML"/>
    <x v="4"/>
    <n v="31351"/>
    <n v="275.333333333334"/>
    <n v="394.88018949155764"/>
    <n v="294.62672983051925"/>
    <n v="1019"/>
    <n v="60"/>
    <n v="24"/>
    <n v="36"/>
    <n v="0"/>
    <n v="72"/>
    <n v="12"/>
    <n v="75"/>
    <n v="1115"/>
    <n v="113.53348699638265"/>
    <n v="16.447014067855889"/>
    <n v="60"/>
    <n v="60"/>
    <n v="60"/>
    <n v="79.434728575767465"/>
    <n v="1881060"/>
    <n v="8631975.3333333544"/>
    <n v="12379888.820749823"/>
    <n v="9236842.6069166083"/>
    <n v="0"/>
    <n v="34956365"/>
    <n v="28216"/>
    <n v="1692960"/>
    <n v="7768805.3333333516"/>
    <n v="11141939.42669379"/>
    <n v="8313187.8088979311"/>
    <n v="0"/>
    <n v="31460840"/>
    <x v="1"/>
    <n v="0"/>
    <n v="24"/>
    <n v="24"/>
    <n v="36"/>
  </r>
  <r>
    <n v="236"/>
    <x v="2"/>
    <s v="P1226384"/>
    <s v="WN40A BOTTLE OFF CENTER ABU 150ML"/>
    <x v="4"/>
    <n v="31351"/>
    <n v="270.00000000000034"/>
    <n v="390.71614113850882"/>
    <n v="287.57204704616964"/>
    <n v="957"/>
    <n v="60"/>
    <n v="48"/>
    <n v="84"/>
    <n v="0"/>
    <n v="72"/>
    <n v="12"/>
    <n v="75"/>
    <n v="1101"/>
    <n v="114.85817324483223"/>
    <n v="8.6462587539328979"/>
    <n v="36"/>
    <n v="36"/>
    <n v="36"/>
    <n v="77.853588329641312"/>
    <n v="1128636"/>
    <n v="8464770.0000000112"/>
    <n v="12249341.740833391"/>
    <n v="9015671.2469444647"/>
    <n v="0"/>
    <n v="34517451"/>
    <n v="28216"/>
    <n v="1015776"/>
    <n v="7618320.0000000093"/>
    <n v="11024446.638364164"/>
    <n v="8114132.8794547226"/>
    <n v="0"/>
    <n v="31065816"/>
    <x v="1"/>
    <n v="0"/>
    <n v="0"/>
    <n v="0"/>
    <n v="0"/>
  </r>
  <r>
    <n v="237"/>
    <x v="2"/>
    <s v="P1226385"/>
    <s v="WN41B BOTTLE OFF CENTER BIRU 270ML"/>
    <x v="4"/>
    <n v="32162"/>
    <n v="201.33333333333459"/>
    <n v="339.74313615017951"/>
    <n v="222.24771205005987"/>
    <n v="922"/>
    <n v="48"/>
    <n v="24"/>
    <n v="252"/>
    <n v="0"/>
    <n v="48"/>
    <n v="12"/>
    <n v="75"/>
    <n v="1222"/>
    <n v="164.95107941422845"/>
    <n v="0"/>
    <n v="0"/>
    <n v="0"/>
    <n v="0"/>
    <n v="119.09101637695571"/>
    <n v="0"/>
    <n v="6475282.666666707"/>
    <n v="10926818.744862074"/>
    <n v="7147930.9149540253"/>
    <n v="0"/>
    <n v="39301964"/>
    <n v="28946"/>
    <n v="0"/>
    <n v="5827794.6666667033"/>
    <n v="9834204.8190030959"/>
    <n v="6433182.2730010329"/>
    <n v="0"/>
    <n v="35372012"/>
    <x v="1"/>
    <n v="0"/>
    <n v="0"/>
    <n v="0"/>
    <n v="0"/>
  </r>
  <r>
    <n v="238"/>
    <x v="2"/>
    <s v="P1226386"/>
    <s v="WN41P BOTTLE OFF CENTER PINK 270ML"/>
    <x v="4"/>
    <n v="32162"/>
    <n v="208.33333333333459"/>
    <n v="331.20774624630081"/>
    <n v="234.7359154154336"/>
    <n v="918"/>
    <n v="48"/>
    <n v="24"/>
    <n v="132"/>
    <n v="0"/>
    <n v="60"/>
    <n v="12"/>
    <n v="75"/>
    <n v="1098"/>
    <n v="140.32790824404981"/>
    <n v="0"/>
    <n v="0"/>
    <n v="0"/>
    <n v="0"/>
    <n v="97.998500024587671"/>
    <n v="0"/>
    <n v="6700416.666666707"/>
    <n v="10652303.534773527"/>
    <n v="7549576.5115911756"/>
    <n v="0"/>
    <n v="35313876"/>
    <n v="28946"/>
    <n v="0"/>
    <n v="6030416.6666667033"/>
    <n v="9587139.4228454232"/>
    <n v="6794665.8076151405"/>
    <n v="0"/>
    <n v="31782708"/>
    <x v="1"/>
    <n v="0"/>
    <n v="0"/>
    <n v="0"/>
    <n v="0"/>
  </r>
  <r>
    <n v="239"/>
    <x v="2"/>
    <s v="P1226387"/>
    <s v="WN41A BOTTLE OFF CENTER ABU 270ML"/>
    <x v="4"/>
    <n v="32162"/>
    <n v="186.33333333333331"/>
    <n v="335.13015751438309"/>
    <n v="217.37671917146105"/>
    <n v="985"/>
    <n v="48"/>
    <n v="24"/>
    <n v="156"/>
    <n v="0"/>
    <n v="48"/>
    <n v="12"/>
    <n v="75"/>
    <n v="1189"/>
    <n v="164.09300929721201"/>
    <n v="0"/>
    <n v="0"/>
    <n v="0"/>
    <n v="0"/>
    <n v="117.84194449251581"/>
    <n v="0"/>
    <n v="5992852.666666666"/>
    <n v="10778456.125977589"/>
    <n v="6991270.0419925302"/>
    <n v="0"/>
    <n v="38240618"/>
    <n v="28946"/>
    <n v="0"/>
    <n v="5393604.666666666"/>
    <n v="9700677.5394113325"/>
    <n v="6292186.5131371114"/>
    <n v="0"/>
    <n v="34416794"/>
    <x v="1"/>
    <n v="0"/>
    <n v="0"/>
    <n v="0"/>
    <n v="0"/>
  </r>
  <r>
    <n v="240"/>
    <x v="2"/>
    <s v="P1226388"/>
    <s v="DOM1P BABYSAFE NIPPLE SET 18PCS M"/>
    <x v="4"/>
    <n v="71892"/>
    <n v="42.333333333333371"/>
    <n v="0"/>
    <n v="20"/>
    <n v="492"/>
    <n v="0"/>
    <n v="0"/>
    <n v="0"/>
    <n v="0"/>
    <n v="0"/>
    <n v="24"/>
    <n v="75"/>
    <n v="492"/>
    <n v="738"/>
    <n v="0"/>
    <n v="0"/>
    <n v="0"/>
    <n v="0"/>
    <n v="738"/>
    <n v="0"/>
    <n v="3043428.0000000028"/>
    <n v="0"/>
    <n v="1437840"/>
    <n v="0"/>
    <n v="35370864"/>
    <n v="64703"/>
    <n v="0"/>
    <n v="2739093.6666666693"/>
    <n v="0"/>
    <n v="1294060"/>
    <n v="0"/>
    <n v="31833876"/>
    <x v="2"/>
    <n v="0"/>
    <n v="0"/>
    <n v="0"/>
    <n v="0"/>
  </r>
  <r>
    <n v="241"/>
    <x v="2"/>
    <s v="P1226389"/>
    <s v="DOL1P BABYSAFE NIPPLE SET 18PCS  L"/>
    <x v="4"/>
    <n v="71892"/>
    <n v="78.3333333333334"/>
    <n v="0"/>
    <n v="45.999999999999993"/>
    <n v="745"/>
    <n v="0"/>
    <n v="0"/>
    <n v="0"/>
    <n v="0"/>
    <n v="24"/>
    <n v="24"/>
    <n v="75"/>
    <n v="745"/>
    <n v="485.86956521739137"/>
    <n v="0"/>
    <n v="24"/>
    <n v="0"/>
    <n v="0"/>
    <n v="485.86956521739137"/>
    <n v="0"/>
    <n v="5631540.0000000047"/>
    <n v="0"/>
    <n v="3307031.9999999995"/>
    <n v="0"/>
    <n v="53559540"/>
    <n v="64703"/>
    <n v="0"/>
    <n v="5068401.6666666707"/>
    <n v="0"/>
    <n v="2976337.9999999995"/>
    <n v="0"/>
    <n v="48203735"/>
    <x v="2"/>
    <n v="-24"/>
    <n v="0"/>
    <n v="0"/>
    <n v="0"/>
  </r>
  <r>
    <n v="242"/>
    <x v="2"/>
    <s v="P1226390"/>
    <s v="DOXLP BABYSAFE NIPPLE SET 18PCS XL"/>
    <x v="4"/>
    <n v="71892"/>
    <n v="68.666666666666515"/>
    <n v="167.41953557609801"/>
    <n v="94.139845192032681"/>
    <n v="787"/>
    <n v="0"/>
    <n v="0"/>
    <n v="0"/>
    <n v="0"/>
    <n v="48"/>
    <n v="24"/>
    <n v="75"/>
    <n v="787"/>
    <n v="250.79709820893333"/>
    <n v="0"/>
    <n v="48"/>
    <n v="0"/>
    <n v="0"/>
    <n v="197.44470468164911"/>
    <n v="0"/>
    <n v="4936583.9999999888"/>
    <n v="12036125.251636839"/>
    <n v="6767901.7505456135"/>
    <n v="0"/>
    <n v="56579004"/>
    <n v="64703"/>
    <n v="0"/>
    <n v="4442939.3333333237"/>
    <n v="10832546.210380269"/>
    <n v="6091130.403460091"/>
    <n v="0"/>
    <n v="50921261"/>
    <x v="1"/>
    <n v="-48"/>
    <n v="0"/>
    <n v="0"/>
    <n v="0"/>
  </r>
  <r>
    <n v="243"/>
    <x v="2"/>
    <s v="P1226391"/>
    <s v="JS06B SLIM BOTTLE BLUE 60ML"/>
    <x v="4"/>
    <n v="11622"/>
    <n v="463.33333333333252"/>
    <n v="619.14412998459613"/>
    <n v="552.04804332819867"/>
    <n v="949"/>
    <n v="132"/>
    <n v="72"/>
    <n v="72"/>
    <n v="132"/>
    <n v="180"/>
    <n v="12"/>
    <n v="75"/>
    <n v="1153"/>
    <n v="62.657590073978156"/>
    <n v="714.26423830509293"/>
    <n v="48"/>
    <n v="714.26423830509293"/>
    <n v="720"/>
    <n v="75.31169905033957"/>
    <n v="8367840"/>
    <n v="5384859.9999999907"/>
    <n v="7195693.0786809763"/>
    <n v="6415902.3595603248"/>
    <n v="1534104"/>
    <n v="13400166"/>
    <n v="10459"/>
    <n v="7530480"/>
    <n v="4846003.3333333246"/>
    <n v="6475628.4555088906"/>
    <n v="5773870.4851696296"/>
    <n v="1380588"/>
    <n v="12059227"/>
    <x v="1"/>
    <n v="672"/>
    <n v="0"/>
    <n v="0"/>
    <n v="12"/>
  </r>
  <r>
    <n v="244"/>
    <x v="2"/>
    <s v="P1226392"/>
    <s v="JS06P  SLIM BOTTLE PINK 60ML"/>
    <x v="4"/>
    <n v="11622"/>
    <n v="452.66666666666856"/>
    <n v="602.38941128698957"/>
    <n v="537.12980376232986"/>
    <n v="911"/>
    <n v="96"/>
    <n v="84"/>
    <n v="49"/>
    <n v="144"/>
    <n v="204"/>
    <n v="12"/>
    <n v="75"/>
    <n v="1056"/>
    <n v="58.980156710905248"/>
    <n v="745.21392069281433"/>
    <n v="95"/>
    <n v="745.21392069281433"/>
    <n v="744"/>
    <n v="74.932199590249255"/>
    <n v="8646768"/>
    <n v="5260892.0000000224"/>
    <n v="7000969.737977393"/>
    <n v="6242522.579325798"/>
    <n v="1673568"/>
    <n v="12272832"/>
    <n v="10459"/>
    <n v="7781496"/>
    <n v="4734440.6666666865"/>
    <n v="6300390.8526506238"/>
    <n v="5617840.6175502082"/>
    <n v="1506096"/>
    <n v="11044704"/>
    <x v="1"/>
    <n v="649"/>
    <n v="0"/>
    <n v="0"/>
    <n v="35"/>
  </r>
  <r>
    <n v="245"/>
    <x v="2"/>
    <s v="P1226393"/>
    <s v="JS06Y  SLIM BOTTLE YELLOW 60ML"/>
    <x v="4"/>
    <n v="11622"/>
    <n v="430.00000000000085"/>
    <n v="569.35786689465124"/>
    <n v="506.11928896488376"/>
    <n v="925"/>
    <n v="72"/>
    <n v="72"/>
    <n v="37"/>
    <n v="120"/>
    <n v="180"/>
    <n v="12"/>
    <n v="75"/>
    <n v="1034"/>
    <n v="61.289898797262147"/>
    <n v="680.65608930686085"/>
    <n v="95"/>
    <n v="680.65608930686085"/>
    <n v="684"/>
    <n v="75.198208847165958"/>
    <n v="7949448"/>
    <n v="4997460.0000000102"/>
    <n v="6617077.1290496364"/>
    <n v="5882118.3763498794"/>
    <n v="1394640"/>
    <n v="12017148"/>
    <n v="10459"/>
    <n v="7153956"/>
    <n v="4497370.0000000093"/>
    <n v="5954913.9298511576"/>
    <n v="5293501.6432837192"/>
    <n v="1255080"/>
    <n v="10814606"/>
    <x v="1"/>
    <n v="589"/>
    <n v="0"/>
    <n v="23"/>
    <n v="35"/>
  </r>
  <r>
    <n v="246"/>
    <x v="2"/>
    <s v="P1226394"/>
    <s v="JS11B SLIM BOTTLE BLUE 125ML"/>
    <x v="4"/>
    <n v="12432"/>
    <n v="540.66666666666629"/>
    <n v="629.14671726962706"/>
    <n v="580.38223908987561"/>
    <n v="831"/>
    <n v="120"/>
    <n v="48"/>
    <n v="25"/>
    <n v="204"/>
    <n v="312"/>
    <n v="12"/>
    <n v="75"/>
    <n v="976"/>
    <n v="50.449510732642906"/>
    <n v="900.1023149943162"/>
    <n v="131"/>
    <n v="900.1023149943162"/>
    <n v="900"/>
    <n v="74.99471133052883"/>
    <n v="11188800"/>
    <n v="6721567.9999999953"/>
    <n v="7821551.9890960036"/>
    <n v="7215311.9963653339"/>
    <n v="2536128"/>
    <n v="12133632"/>
    <n v="11189"/>
    <n v="10070100"/>
    <n v="6049519.3333333293"/>
    <n v="7039522.6195298573"/>
    <n v="6493896.8731766185"/>
    <n v="2282556"/>
    <n v="10920464"/>
    <x v="1"/>
    <n v="769"/>
    <n v="23"/>
    <n v="83"/>
    <n v="143"/>
  </r>
  <r>
    <n v="247"/>
    <x v="2"/>
    <s v="P1226395"/>
    <s v="JS11P SLIM BOTTLE PINK 125ML"/>
    <x v="4"/>
    <n v="12432"/>
    <n v="502.99999999999909"/>
    <n v="609.86365744916657"/>
    <n v="552.62121914972226"/>
    <n v="839"/>
    <n v="108"/>
    <n v="60"/>
    <n v="25"/>
    <n v="192"/>
    <n v="240"/>
    <n v="12"/>
    <n v="75"/>
    <n v="972"/>
    <n v="52.766703466193995"/>
    <n v="827.41670532347234"/>
    <n v="83"/>
    <n v="827.41670532347234"/>
    <n v="828"/>
    <n v="75.031665161759008"/>
    <n v="10293696"/>
    <n v="6253295.9999999888"/>
    <n v="7581824.9894080386"/>
    <n v="6870186.9964693468"/>
    <n v="2386944"/>
    <n v="12083904"/>
    <n v="11189"/>
    <n v="9264492"/>
    <n v="5628066.9999999898"/>
    <n v="6823764.4631987251"/>
    <n v="6183278.8210662426"/>
    <n v="2148288"/>
    <n v="10875708"/>
    <x v="1"/>
    <n v="745"/>
    <n v="0"/>
    <n v="47"/>
    <n v="71"/>
  </r>
  <r>
    <n v="248"/>
    <x v="2"/>
    <s v="P1226396"/>
    <s v="JS11Y SLIM BOTTLE YELLOW 125ML"/>
    <x v="4"/>
    <n v="12432"/>
    <n v="487.33333333333292"/>
    <n v="608.06289491339646"/>
    <n v="540.68763163779875"/>
    <n v="834"/>
    <n v="120"/>
    <n v="36"/>
    <n v="25"/>
    <n v="180"/>
    <n v="300"/>
    <n v="12"/>
    <n v="75"/>
    <n v="979"/>
    <n v="54.31971859802902"/>
    <n v="800.7819740078935"/>
    <n v="131"/>
    <n v="800.7819740078935"/>
    <n v="804"/>
    <n v="75.178551855293534"/>
    <n v="9995328"/>
    <n v="6058527.9999999944"/>
    <n v="7559437.9095633449"/>
    <n v="6721828.636521114"/>
    <n v="2237760"/>
    <n v="12170928"/>
    <n v="11189"/>
    <n v="8995956"/>
    <n v="5452772.6666666623"/>
    <n v="6803615.7311859932"/>
    <n v="6049753.9103953298"/>
    <n v="2014020"/>
    <n v="10954031"/>
    <x v="1"/>
    <n v="673"/>
    <n v="11"/>
    <n v="71"/>
    <n v="107"/>
  </r>
  <r>
    <n v="249"/>
    <x v="2"/>
    <s v="P1226397"/>
    <s v="JS12B SLIM BOTTLE BLUE 250ML"/>
    <x v="4"/>
    <n v="13351"/>
    <n v="495.33333333333354"/>
    <n v="601.26277048018721"/>
    <n v="546.42092349339566"/>
    <n v="787"/>
    <n v="96"/>
    <n v="144"/>
    <n v="14"/>
    <n v="240"/>
    <n v="240"/>
    <n v="12"/>
    <n v="75"/>
    <n v="897"/>
    <n v="49.247748105907313"/>
    <n v="830.3150792136762"/>
    <n v="130"/>
    <n v="830.3150792136762"/>
    <n v="828"/>
    <n v="74.87289583282012"/>
    <n v="11054628"/>
    <n v="6613195.3333333358"/>
    <n v="8027459.2486809799"/>
    <n v="7295265.7495603254"/>
    <n v="3204240"/>
    <n v="11975847"/>
    <n v="12016"/>
    <n v="9949248"/>
    <n v="5951925.3333333358"/>
    <n v="7224773.4500899296"/>
    <n v="6565793.816696642"/>
    <n v="2883840"/>
    <n v="10778352"/>
    <x v="1"/>
    <n v="698"/>
    <n v="0"/>
    <n v="0"/>
    <n v="34"/>
  </r>
  <r>
    <n v="250"/>
    <x v="2"/>
    <s v="P1226398"/>
    <s v="JS12P SLIM BOTTLE PINK 250ML"/>
    <x v="4"/>
    <n v="13351"/>
    <n v="446.66666666666612"/>
    <n v="585.19050354861065"/>
    <n v="508.06350118287008"/>
    <n v="779"/>
    <n v="120"/>
    <n v="60"/>
    <n v="26"/>
    <n v="180"/>
    <n v="264"/>
    <n v="12"/>
    <n v="75"/>
    <n v="925"/>
    <n v="54.619156730197375"/>
    <n v="750.34925650578589"/>
    <n v="118"/>
    <n v="750.34925650578589"/>
    <n v="756"/>
    <n v="75.333663615732561"/>
    <n v="10093356"/>
    <n v="5963446.6666666595"/>
    <n v="7812878.412877501"/>
    <n v="6783155.8042924982"/>
    <n v="2403180"/>
    <n v="12349675"/>
    <n v="12016"/>
    <n v="9084096"/>
    <n v="5367146.6666666605"/>
    <n v="7031649.0906401053"/>
    <n v="6104891.0302133672"/>
    <n v="2162880"/>
    <n v="11114800"/>
    <x v="1"/>
    <n v="638"/>
    <n v="22"/>
    <n v="34"/>
    <n v="82"/>
  </r>
  <r>
    <n v="251"/>
    <x v="2"/>
    <s v="P1226399"/>
    <s v="JS12Y SLIM BOTTLE YELLOW 250ML"/>
    <x v="4"/>
    <n v="13351"/>
    <n v="454.33333333333479"/>
    <n v="573.79217604320831"/>
    <n v="513.93072534773603"/>
    <n v="782"/>
    <n v="72"/>
    <n v="60"/>
    <n v="36"/>
    <n v="168"/>
    <n v="300"/>
    <n v="12"/>
    <n v="75"/>
    <n v="890"/>
    <n v="51.952527224236754"/>
    <n v="800.61898941254822"/>
    <n v="156"/>
    <n v="800.61898941254822"/>
    <n v="804"/>
    <n v="75.197361847853955"/>
    <n v="10734204"/>
    <n v="6065804.3333333526"/>
    <n v="7660699.3423528746"/>
    <n v="6861489.1141176233"/>
    <n v="2242968"/>
    <n v="11882390"/>
    <n v="12016"/>
    <n v="9660864"/>
    <n v="5459269.3333333507"/>
    <n v="6894686.7873351909"/>
    <n v="6175391.5957783964"/>
    <n v="2018688"/>
    <n v="10694240"/>
    <x v="1"/>
    <n v="648"/>
    <n v="48"/>
    <n v="84"/>
    <n v="144"/>
  </r>
  <r>
    <n v="252"/>
    <x v="2"/>
    <s v="P1226400"/>
    <s v="JS13B SLIM BOTTLE BLUE 250ML W.H"/>
    <x v="4"/>
    <n v="15135"/>
    <n v="436.33333333333326"/>
    <n v="562.33712484683144"/>
    <n v="477.44570828227711"/>
    <n v="839"/>
    <n v="84"/>
    <n v="48"/>
    <n v="24"/>
    <n v="204"/>
    <n v="228"/>
    <n v="12"/>
    <n v="75"/>
    <n v="947"/>
    <n v="59.504147816537376"/>
    <n v="604.95139555252445"/>
    <n v="48"/>
    <n v="604.95139555252445"/>
    <n v="600"/>
    <n v="74.688882182834689"/>
    <n v="9081000"/>
    <n v="6603904.9999999991"/>
    <n v="8510972.3845567945"/>
    <n v="7226140.7948522642"/>
    <n v="3087540"/>
    <n v="14332845"/>
    <n v="13622"/>
    <n v="8173200"/>
    <n v="5943732.666666666"/>
    <n v="7660156.3146635378"/>
    <n v="6503765.4382211789"/>
    <n v="2778888"/>
    <n v="12900034"/>
    <x v="1"/>
    <n v="552"/>
    <n v="0"/>
    <n v="0"/>
    <n v="36"/>
  </r>
  <r>
    <n v="253"/>
    <x v="2"/>
    <s v="P1226401"/>
    <s v="JS13P SLIM BOTTLE PINK 250ML W.H"/>
    <x v="4"/>
    <n v="15135"/>
    <n v="393.33333333333223"/>
    <n v="528.84277014170618"/>
    <n v="444.61425671390202"/>
    <n v="860"/>
    <n v="72"/>
    <n v="36"/>
    <n v="1"/>
    <n v="180"/>
    <n v="180"/>
    <n v="12"/>
    <n v="75"/>
    <n v="933"/>
    <n v="62.953446897702285"/>
    <n v="527.37841192646147"/>
    <n v="35"/>
    <n v="527.37841192646147"/>
    <n v="528"/>
    <n v="75.041941170181957"/>
    <n v="7991280"/>
    <n v="5953099.9999999832"/>
    <n v="8004035.3260947233"/>
    <n v="6729236.7753649075"/>
    <n v="2724300"/>
    <n v="14120955"/>
    <n v="13622"/>
    <n v="7192416"/>
    <n v="5357986.6666666521"/>
    <n v="7203896.2148703216"/>
    <n v="6056535.4049567729"/>
    <n v="2451960"/>
    <n v="12709326"/>
    <x v="1"/>
    <n v="493"/>
    <n v="0"/>
    <n v="0"/>
    <n v="23"/>
  </r>
  <r>
    <n v="254"/>
    <x v="2"/>
    <s v="P1226402"/>
    <s v="JS13Y SLIM BOTTLE YELLOW 250ML W.H"/>
    <x v="4"/>
    <n v="15135"/>
    <n v="373.33333333333201"/>
    <n v="511.8273178885093"/>
    <n v="419.60910596283645"/>
    <n v="813"/>
    <n v="84"/>
    <n v="24"/>
    <n v="14"/>
    <n v="132"/>
    <n v="168"/>
    <n v="12"/>
    <n v="75"/>
    <n v="911"/>
    <n v="65.132046973309826"/>
    <n v="517.85008279560043"/>
    <n v="46"/>
    <n v="517.85008279560043"/>
    <n v="516"/>
    <n v="74.867728123438468"/>
    <n v="7809660"/>
    <n v="5650399.9999999795"/>
    <n v="7746506.4562425883"/>
    <n v="6350783.8187475298"/>
    <n v="1997820"/>
    <n v="13787985"/>
    <n v="13622"/>
    <n v="7028952"/>
    <n v="5085546.6666666484"/>
    <n v="6972111.7242772738"/>
    <n v="5715915.2414257582"/>
    <n v="1798104"/>
    <n v="12409642"/>
    <x v="1"/>
    <n v="470"/>
    <n v="0"/>
    <n v="10"/>
    <n v="34"/>
  </r>
  <r>
    <n v="255"/>
    <x v="2"/>
    <s v="P1226403"/>
    <s v="LBP01 PORTABLE HOT POT"/>
    <x v="4"/>
    <n v="367568"/>
    <n v="126.33333333333297"/>
    <n v="119.89361702127718"/>
    <n v="92.631205673759069"/>
    <n v="828"/>
    <n v="0"/>
    <n v="0"/>
    <n v="24"/>
    <n v="0"/>
    <n v="0"/>
    <n v="12"/>
    <n v="75"/>
    <n v="852"/>
    <n v="275.93293009723544"/>
    <n v="0"/>
    <n v="0"/>
    <n v="0"/>
    <n v="0"/>
    <n v="237.10359084296692"/>
    <n v="0"/>
    <n v="46436090.666666538"/>
    <n v="44069057.021276809"/>
    <n v="34048267.007092275"/>
    <n v="0"/>
    <n v="313167936"/>
    <n v="330811"/>
    <n v="0"/>
    <n v="41792456.333333217"/>
    <n v="39662127.340425722"/>
    <n v="30643421.780141912"/>
    <n v="0"/>
    <n v="281850972"/>
    <x v="1"/>
    <n v="0"/>
    <n v="0"/>
    <n v="0"/>
    <n v="0"/>
  </r>
  <r>
    <n v="256"/>
    <x v="2"/>
    <s v="P1226404"/>
    <s v="MU001 MULTI COOKER"/>
    <x v="4"/>
    <n v="643243"/>
    <n v="109.66666666666718"/>
    <n v="125"/>
    <n v="89.333333333333329"/>
    <n v="622"/>
    <n v="16"/>
    <n v="0"/>
    <n v="92"/>
    <n v="0"/>
    <n v="4"/>
    <n v="4"/>
    <n v="75"/>
    <n v="730"/>
    <n v="245.14925373134332"/>
    <n v="0"/>
    <n v="0"/>
    <n v="0"/>
    <n v="0"/>
    <n v="203.17164179104478"/>
    <n v="0"/>
    <n v="70542315.666666999"/>
    <n v="80405375"/>
    <n v="57463041.333333328"/>
    <n v="0"/>
    <n v="469567390"/>
    <n v="578919"/>
    <n v="0"/>
    <n v="63488117.000000298"/>
    <n v="72364875"/>
    <n v="51716764"/>
    <n v="0"/>
    <n v="422610870"/>
    <x v="1"/>
    <n v="0"/>
    <n v="0"/>
    <n v="0"/>
    <n v="0"/>
  </r>
  <r>
    <n v="257"/>
    <x v="2"/>
    <s v="P1226405"/>
    <s v="CPG10 COOLING PATCH  4X11CM 10 PCS"/>
    <x v="4"/>
    <n v="29730"/>
    <n v="4879.6666666666661"/>
    <n v="5431.2338381011932"/>
    <n v="4085.7446127003973"/>
    <n v="6773"/>
    <n v="0"/>
    <n v="672"/>
    <n v="0"/>
    <n v="8022"/>
    <n v="2160"/>
    <n v="36"/>
    <n v="75"/>
    <n v="6773"/>
    <n v="49.731449040742987"/>
    <n v="850.59536985218801"/>
    <n v="0"/>
    <n v="850.59536985218801"/>
    <n v="864"/>
    <n v="75.098424875403211"/>
    <n v="25686720"/>
    <n v="145072489.99999997"/>
    <n v="161470582.00674847"/>
    <n v="121469187.33558281"/>
    <n v="238494060"/>
    <n v="201361290"/>
    <n v="26757"/>
    <n v="23118048"/>
    <n v="130565240.99999999"/>
    <n v="145323523.80607364"/>
    <n v="109322268.60202453"/>
    <n v="214644654"/>
    <n v="181225161"/>
    <x v="1"/>
    <n v="864"/>
    <n v="0"/>
    <n v="0"/>
    <n v="0"/>
  </r>
  <r>
    <n v="258"/>
    <x v="2"/>
    <s v="P1226406"/>
    <s v="CPG05 COOLING PATCH 4X11CM 5 PCS"/>
    <x v="4"/>
    <n v="14865"/>
    <n v="918.33333333333348"/>
    <n v="910"/>
    <n v="1221.6666666666667"/>
    <n v="1676"/>
    <n v="0"/>
    <n v="288"/>
    <n v="0"/>
    <n v="468"/>
    <n v="792"/>
    <n v="36"/>
    <n v="75"/>
    <n v="1676"/>
    <n v="41.156889495225101"/>
    <n v="1820.166666666667"/>
    <n v="612"/>
    <n v="1820.166666666667"/>
    <n v="1836"/>
    <n v="75.388813096862208"/>
    <n v="27292140"/>
    <n v="13651025.000000002"/>
    <n v="13527150"/>
    <n v="18160075"/>
    <n v="6956820"/>
    <n v="24913740"/>
    <n v="13378"/>
    <n v="24562008"/>
    <n v="12285463.333333336"/>
    <n v="12173980"/>
    <n v="16343456.666666668"/>
    <n v="6260904"/>
    <n v="22421528"/>
    <x v="1"/>
    <n v="1224"/>
    <n v="0"/>
    <n v="0"/>
    <n v="0"/>
  </r>
  <r>
    <n v="259"/>
    <x v="2"/>
    <s v="P1226407"/>
    <s v="PS01B PRESPOON SET BLUE"/>
    <x v="4"/>
    <n v="19459"/>
    <n v="0"/>
    <n v="0"/>
    <n v="0"/>
    <n v="0"/>
    <n v="144"/>
    <n v="1152"/>
    <n v="0"/>
    <n v="0"/>
    <n v="0"/>
    <n v="24"/>
    <n v="75"/>
    <n v="144"/>
    <n v="9999"/>
    <n v="0"/>
    <n v="1152"/>
    <n v="0"/>
    <n v="0"/>
    <n v="9999"/>
    <n v="0"/>
    <n v="0"/>
    <n v="0"/>
    <n v="0"/>
    <n v="0"/>
    <n v="2802096"/>
    <n v="17514"/>
    <n v="0"/>
    <n v="0"/>
    <n v="0"/>
    <n v="0"/>
    <n v="0"/>
    <n v="2522016"/>
    <x v="1"/>
    <n v="-1152"/>
    <n v="0"/>
    <n v="0"/>
    <n v="0"/>
  </r>
  <r>
    <n v="260"/>
    <x v="2"/>
    <s v="P1226408"/>
    <s v="PS01C PRESPOON SET CREAM"/>
    <x v="4"/>
    <n v="19459"/>
    <n v="0"/>
    <n v="0"/>
    <n v="0"/>
    <n v="0"/>
    <n v="192"/>
    <n v="1104"/>
    <n v="0"/>
    <n v="0"/>
    <n v="0"/>
    <n v="24"/>
    <n v="75"/>
    <n v="192"/>
    <n v="9999"/>
    <n v="0"/>
    <n v="1104"/>
    <n v="0"/>
    <n v="0"/>
    <n v="9999"/>
    <n v="0"/>
    <n v="0"/>
    <n v="0"/>
    <n v="0"/>
    <n v="0"/>
    <n v="3736128"/>
    <n v="17514"/>
    <n v="0"/>
    <n v="0"/>
    <n v="0"/>
    <n v="0"/>
    <n v="0"/>
    <n v="3362688"/>
    <x v="1"/>
    <n v="-1104"/>
    <n v="0"/>
    <n v="0"/>
    <n v="0"/>
  </r>
  <r>
    <n v="261"/>
    <x v="2"/>
    <s v="P1226409"/>
    <s v="MC08B MILK CONTAINER BLUE"/>
    <x v="4"/>
    <n v="14054"/>
    <n v="243.66666666666578"/>
    <n v="0"/>
    <n v="243.66666666666663"/>
    <n v="619"/>
    <n v="0"/>
    <n v="0"/>
    <n v="0"/>
    <n v="0"/>
    <n v="90"/>
    <n v="30"/>
    <n v="75"/>
    <n v="619"/>
    <n v="76.210670314637497"/>
    <n v="0"/>
    <n v="90"/>
    <n v="0"/>
    <n v="0"/>
    <n v="76.210670314637497"/>
    <n v="0"/>
    <n v="3424491.3333333209"/>
    <n v="0"/>
    <n v="3424491.333333333"/>
    <n v="0"/>
    <n v="8699426"/>
    <n v="12649"/>
    <n v="0"/>
    <n v="3082139.6666666553"/>
    <n v="0"/>
    <n v="3082139.666666666"/>
    <n v="0"/>
    <n v="7829731"/>
    <x v="1"/>
    <n v="-90"/>
    <n v="0"/>
    <n v="0"/>
    <n v="0"/>
  </r>
  <r>
    <n v="262"/>
    <x v="2"/>
    <s v="P1226410"/>
    <s v="MC08C MILK CONTAINER CREAM"/>
    <x v="4"/>
    <n v="14054"/>
    <n v="231.33333333333277"/>
    <n v="0"/>
    <n v="231.33333333333334"/>
    <n v="566"/>
    <n v="0"/>
    <n v="0"/>
    <n v="0"/>
    <n v="0"/>
    <n v="90"/>
    <n v="30"/>
    <n v="75"/>
    <n v="566"/>
    <n v="73.400576368876088"/>
    <n v="12.333333333333371"/>
    <n v="90"/>
    <n v="0"/>
    <n v="0"/>
    <n v="73.400576368876088"/>
    <n v="0"/>
    <n v="3251158.6666666586"/>
    <n v="0"/>
    <n v="3251158.666666667"/>
    <n v="0"/>
    <n v="7954564"/>
    <n v="12649"/>
    <n v="0"/>
    <n v="2926135.333333326"/>
    <n v="0"/>
    <n v="2926135.3333333335"/>
    <n v="0"/>
    <n v="7159334"/>
    <x v="1"/>
    <n v="-90"/>
    <n v="0"/>
    <n v="0"/>
    <n v="0"/>
  </r>
  <r>
    <n v="263"/>
    <x v="2"/>
    <s v="P1226411"/>
    <s v="TM001 KITCHEN SCALE"/>
    <x v="4"/>
    <n v="42432"/>
    <n v="0"/>
    <n v="0"/>
    <n v="0"/>
    <n v="0"/>
    <n v="91"/>
    <n v="79"/>
    <n v="22"/>
    <n v="0"/>
    <n v="0"/>
    <n v="24"/>
    <n v="75"/>
    <n v="113"/>
    <n v="9999"/>
    <n v="0"/>
    <n v="57"/>
    <n v="0"/>
    <n v="0"/>
    <n v="9999"/>
    <n v="0"/>
    <n v="0"/>
    <n v="0"/>
    <n v="0"/>
    <n v="0"/>
    <n v="4794816"/>
    <n v="38189"/>
    <n v="0"/>
    <n v="0"/>
    <n v="0"/>
    <n v="0"/>
    <n v="0"/>
    <n v="4315357"/>
    <x v="1"/>
    <n v="-57"/>
    <n v="0"/>
    <n v="0"/>
    <n v="0"/>
  </r>
  <r>
    <n v="264"/>
    <x v="2"/>
    <s v="P1226412"/>
    <s v="NAS05 ELECTRIC NASAL ASPIRATOR"/>
    <x v="4"/>
    <n v="162162"/>
    <n v="478.66666666666663"/>
    <n v="0"/>
    <n v="478.66666666666657"/>
    <n v="604"/>
    <n v="120"/>
    <n v="0"/>
    <n v="60"/>
    <n v="0"/>
    <n v="120"/>
    <n v="12"/>
    <n v="75"/>
    <n v="784"/>
    <n v="49.13649025069639"/>
    <n v="412.66666666666652"/>
    <n v="60"/>
    <n v="0"/>
    <n v="0"/>
    <n v="49.13649025069639"/>
    <n v="0"/>
    <n v="77621544"/>
    <n v="0"/>
    <n v="77621543.999999985"/>
    <n v="0"/>
    <n v="127135008"/>
    <n v="145946"/>
    <n v="0"/>
    <n v="69859485.333333328"/>
    <n v="0"/>
    <n v="69859485.333333313"/>
    <n v="0"/>
    <n v="114421664"/>
    <x v="1"/>
    <n v="-60"/>
    <n v="48"/>
    <n v="96"/>
    <n v="108"/>
  </r>
  <r>
    <n v="265"/>
    <x v="2"/>
    <s v="P1226413"/>
    <s v="BD332 NAIL CLIPPER"/>
    <x v="4"/>
    <n v="8919"/>
    <n v="509"/>
    <n v="0"/>
    <n v="509.00000000000006"/>
    <n v="1952"/>
    <n v="72"/>
    <n v="0"/>
    <n v="0"/>
    <n v="0"/>
    <n v="0"/>
    <n v="24"/>
    <n v="75"/>
    <n v="2024"/>
    <n v="119.2927308447937"/>
    <n v="0"/>
    <n v="0"/>
    <n v="0"/>
    <n v="0"/>
    <n v="119.2927308447937"/>
    <n v="0"/>
    <n v="4539771"/>
    <n v="0"/>
    <n v="4539771.0000000009"/>
    <n v="0"/>
    <n v="18052056"/>
    <n v="8027"/>
    <n v="0"/>
    <n v="4085743"/>
    <n v="0"/>
    <n v="4085743.0000000005"/>
    <n v="0"/>
    <n v="16246648"/>
    <x v="1"/>
    <n v="0"/>
    <n v="0"/>
    <n v="0"/>
    <n v="0"/>
  </r>
  <r>
    <n v="266"/>
    <x v="2"/>
    <s v="P1226414"/>
    <s v="HT003 BABY HAIRCUT KIT"/>
    <x v="4"/>
    <n v="45135"/>
    <n v="111.33333333333333"/>
    <n v="0"/>
    <n v="111.33333333333331"/>
    <n v="890"/>
    <n v="216"/>
    <n v="0"/>
    <n v="0"/>
    <n v="0"/>
    <n v="0"/>
    <n v="36"/>
    <n v="75"/>
    <n v="1106"/>
    <n v="298.02395209580845"/>
    <n v="0"/>
    <n v="0"/>
    <n v="0"/>
    <n v="0"/>
    <n v="298.02395209580845"/>
    <n v="0"/>
    <n v="5025030"/>
    <n v="0"/>
    <n v="5025029.9999999991"/>
    <n v="0"/>
    <n v="49919310"/>
    <n v="40622"/>
    <n v="0"/>
    <n v="4522582.666666666"/>
    <n v="0"/>
    <n v="4522582.666666666"/>
    <n v="0"/>
    <n v="44927932"/>
    <x v="1"/>
    <n v="0"/>
    <n v="0"/>
    <n v="0"/>
    <n v="0"/>
  </r>
  <r>
    <n v="267"/>
    <x v="2"/>
    <s v="P1226415"/>
    <s v="BS50B CLEANING BRUSH 7IN1 BLUE"/>
    <x v="4"/>
    <n v="48919"/>
    <n v="123.33333333333354"/>
    <n v="0"/>
    <n v="123.33333333333334"/>
    <n v="686"/>
    <n v="168"/>
    <n v="0"/>
    <n v="0"/>
    <n v="0"/>
    <n v="0"/>
    <n v="24"/>
    <n v="75"/>
    <n v="854"/>
    <n v="207.72972972972974"/>
    <n v="0"/>
    <n v="0"/>
    <n v="0"/>
    <n v="0"/>
    <n v="207.72972972972974"/>
    <n v="0"/>
    <n v="6033343.3333333433"/>
    <n v="0"/>
    <n v="6033343.333333334"/>
    <n v="0"/>
    <n v="41776826"/>
    <n v="44027"/>
    <n v="0"/>
    <n v="5429996.6666666763"/>
    <n v="0"/>
    <n v="5429996.666666667"/>
    <n v="0"/>
    <n v="37599058"/>
    <x v="1"/>
    <n v="0"/>
    <n v="0"/>
    <n v="0"/>
    <n v="0"/>
  </r>
  <r>
    <n v="268"/>
    <x v="2"/>
    <s v="P1226416"/>
    <s v="BS50C CLEANING BRUSH 7 IN 1 CREAM"/>
    <x v="4"/>
    <n v="48919"/>
    <n v="118.66666666666644"/>
    <n v="0"/>
    <n v="118.66666666666666"/>
    <n v="700"/>
    <n v="168"/>
    <n v="0"/>
    <n v="0"/>
    <n v="0"/>
    <n v="0"/>
    <n v="24"/>
    <n v="75"/>
    <n v="868"/>
    <n v="219.43820224719104"/>
    <n v="0"/>
    <n v="0"/>
    <n v="0"/>
    <n v="0"/>
    <n v="219.43820224719104"/>
    <n v="0"/>
    <n v="5805054.6666666558"/>
    <n v="0"/>
    <n v="5805054.666666666"/>
    <n v="0"/>
    <n v="42461692"/>
    <n v="44027"/>
    <n v="0"/>
    <n v="5224537.3333333237"/>
    <n v="0"/>
    <n v="5224537.333333333"/>
    <n v="0"/>
    <n v="38215436"/>
    <x v="1"/>
    <n v="0"/>
    <n v="0"/>
    <n v="0"/>
    <n v="0"/>
  </r>
  <r>
    <n v="269"/>
    <x v="2"/>
    <s v="P1226417"/>
    <s v="JP19B STRAW CUP 250ML BLUE"/>
    <x v="4"/>
    <n v="35676"/>
    <n v="0"/>
    <n v="0"/>
    <n v="0"/>
    <n v="0"/>
    <n v="780"/>
    <n v="216"/>
    <n v="0"/>
    <n v="0"/>
    <n v="0"/>
    <n v="12"/>
    <n v="75"/>
    <n v="780"/>
    <n v="9999"/>
    <n v="0"/>
    <n v="216"/>
    <n v="0"/>
    <n v="0"/>
    <n v="9999"/>
    <n v="0"/>
    <n v="0"/>
    <n v="0"/>
    <n v="0"/>
    <n v="0"/>
    <n v="27827280"/>
    <n v="32108"/>
    <n v="0"/>
    <n v="0"/>
    <n v="0"/>
    <n v="0"/>
    <n v="0"/>
    <n v="25044240"/>
    <x v="1"/>
    <n v="-216"/>
    <n v="0"/>
    <n v="0"/>
    <n v="0"/>
  </r>
  <r>
    <n v="270"/>
    <x v="2"/>
    <s v="P1226418"/>
    <s v="JP19P STRAW CUP 250ML PURPLE"/>
    <x v="4"/>
    <n v="35676"/>
    <n v="0"/>
    <n v="0"/>
    <n v="0"/>
    <n v="0"/>
    <n v="780"/>
    <n v="216"/>
    <n v="0"/>
    <n v="0"/>
    <n v="0"/>
    <n v="12"/>
    <n v="75"/>
    <n v="780"/>
    <n v="9999"/>
    <n v="0"/>
    <n v="216"/>
    <n v="0"/>
    <n v="0"/>
    <n v="9999"/>
    <n v="0"/>
    <n v="0"/>
    <n v="0"/>
    <n v="0"/>
    <n v="0"/>
    <n v="27827280"/>
    <n v="32108"/>
    <n v="0"/>
    <n v="0"/>
    <n v="0"/>
    <n v="0"/>
    <n v="0"/>
    <n v="25044240"/>
    <x v="1"/>
    <n v="-216"/>
    <n v="0"/>
    <n v="0"/>
    <n v="0"/>
  </r>
  <r>
    <n v="271"/>
    <x v="2"/>
    <s v="P1226419"/>
    <s v="JP19C STRAW CUP 250ML CREAM"/>
    <x v="4"/>
    <n v="35676"/>
    <n v="0"/>
    <n v="0"/>
    <n v="0"/>
    <n v="0"/>
    <n v="780"/>
    <n v="216"/>
    <n v="0"/>
    <n v="0"/>
    <n v="0"/>
    <n v="12"/>
    <n v="75"/>
    <n v="780"/>
    <n v="9999"/>
    <n v="0"/>
    <n v="216"/>
    <n v="0"/>
    <n v="0"/>
    <n v="9999"/>
    <n v="0"/>
    <n v="0"/>
    <n v="0"/>
    <n v="0"/>
    <n v="0"/>
    <n v="27827280"/>
    <n v="32108"/>
    <n v="0"/>
    <n v="0"/>
    <n v="0"/>
    <n v="0"/>
    <n v="0"/>
    <n v="25044240"/>
    <x v="1"/>
    <n v="-216"/>
    <n v="0"/>
    <n v="0"/>
    <n v="0"/>
  </r>
  <r>
    <n v="272"/>
    <x v="2"/>
    <s v="P12AP001"/>
    <s v="BOTTLE 125ML REGULAR"/>
    <x v="3"/>
    <n v="23182"/>
    <n v="14.333333333333309"/>
    <n v="0"/>
    <n v="13.333333333333332"/>
    <n v="51"/>
    <n v="0"/>
    <n v="0"/>
    <n v="2"/>
    <n v="0"/>
    <n v="0"/>
    <n v="12"/>
    <n v="75"/>
    <n v="53"/>
    <n v="119.25000000000001"/>
    <n v="0"/>
    <n v="0"/>
    <n v="0"/>
    <n v="0"/>
    <n v="119.25000000000001"/>
    <n v="0"/>
    <n v="332275.33333333279"/>
    <n v="0"/>
    <n v="309093.33333333331"/>
    <n v="0"/>
    <n v="1228646"/>
    <n v="20864"/>
    <n v="0"/>
    <n v="299050.66666666616"/>
    <n v="0"/>
    <n v="278186.66666666663"/>
    <n v="0"/>
    <n v="1105792"/>
    <x v="2"/>
    <n v="0"/>
    <n v="10"/>
    <n v="10"/>
    <n v="10"/>
  </r>
  <r>
    <n v="273"/>
    <x v="2"/>
    <s v="P12AP004"/>
    <s v="BOTTLE 250ML WIDE NECK"/>
    <x v="1"/>
    <n v="38182"/>
    <n v="3.3333333333333299"/>
    <n v="0"/>
    <n v="2.3333333333333335"/>
    <n v="139"/>
    <n v="0"/>
    <n v="0"/>
    <n v="0"/>
    <n v="0"/>
    <n v="0"/>
    <n v="12"/>
    <n v="75"/>
    <n v="139"/>
    <n v="1787.1428571428571"/>
    <n v="0"/>
    <n v="0"/>
    <n v="0"/>
    <n v="0"/>
    <n v="1787.1428571428571"/>
    <n v="0"/>
    <n v="127273.3333333332"/>
    <n v="0"/>
    <n v="89091.333333333343"/>
    <n v="0"/>
    <n v="5307298"/>
    <n v="34364"/>
    <n v="0"/>
    <n v="114546.66666666656"/>
    <n v="0"/>
    <n v="80182.666666666672"/>
    <n v="0"/>
    <n v="4776596"/>
    <x v="2"/>
    <n v="0"/>
    <n v="0"/>
    <n v="0"/>
    <n v="0"/>
  </r>
  <r>
    <n v="274"/>
    <x v="2"/>
    <s v="P12AP005"/>
    <s v="CUP WITH SILICONE SPOUT"/>
    <x v="3"/>
    <n v="34865"/>
    <n v="409.00000000000171"/>
    <n v="543.06611141416658"/>
    <n v="445.02203713805562"/>
    <n v="1100"/>
    <n v="56"/>
    <n v="48"/>
    <n v="0"/>
    <n v="108"/>
    <n v="144"/>
    <n v="12"/>
    <n v="75"/>
    <n v="1156"/>
    <n v="77.928725109946626"/>
    <n v="391.62120425930561"/>
    <n v="84"/>
    <n v="391.62120425930561"/>
    <n v="396"/>
    <n v="75.295185094800317"/>
    <n v="13806540"/>
    <n v="14259785.00000006"/>
    <n v="18933999.974454917"/>
    <n v="15515693.324818309"/>
    <n v="3765420"/>
    <n v="40303940"/>
    <n v="31379"/>
    <n v="12426084"/>
    <n v="12834011.000000054"/>
    <n v="17040871.510065135"/>
    <n v="13964346.503355047"/>
    <n v="3388932"/>
    <n v="36274124"/>
    <x v="1"/>
    <n v="312"/>
    <n v="0"/>
    <n v="0"/>
    <n v="0"/>
  </r>
  <r>
    <n v="275"/>
    <x v="2"/>
    <s v="P12AP006"/>
    <s v="CUP WITH HARD SPOUT"/>
    <x v="3"/>
    <n v="23373"/>
    <n v="124.3333333333337"/>
    <n v="0"/>
    <n v="75"/>
    <n v="140"/>
    <n v="0"/>
    <n v="0"/>
    <n v="0"/>
    <n v="0"/>
    <n v="60"/>
    <n v="12"/>
    <n v="75"/>
    <n v="140"/>
    <n v="56"/>
    <n v="47.5"/>
    <n v="60"/>
    <n v="0"/>
    <n v="0"/>
    <n v="56"/>
    <n v="0"/>
    <n v="2906043.0000000084"/>
    <n v="0"/>
    <n v="1752975"/>
    <n v="0"/>
    <n v="3272220"/>
    <n v="21036"/>
    <n v="0"/>
    <n v="2615476.0000000075"/>
    <n v="0"/>
    <n v="1577700"/>
    <n v="0"/>
    <n v="2945040"/>
    <x v="2"/>
    <n v="-60"/>
    <n v="0"/>
    <n v="0"/>
    <n v="0"/>
  </r>
  <r>
    <n v="276"/>
    <x v="2"/>
    <s v="P12AP008"/>
    <s v="FOOD MASHER BOWL"/>
    <x v="1"/>
    <n v="36757"/>
    <n v="15.333333333333309"/>
    <n v="0"/>
    <n v="8.6666666666666661"/>
    <n v="54"/>
    <n v="0"/>
    <n v="0"/>
    <n v="0"/>
    <n v="24"/>
    <n v="12"/>
    <n v="12"/>
    <n v="75"/>
    <n v="54"/>
    <n v="186.92307692307693"/>
    <n v="0"/>
    <n v="0"/>
    <n v="0"/>
    <n v="0"/>
    <n v="270"/>
    <n v="0"/>
    <n v="563607.33333333244"/>
    <n v="0"/>
    <n v="318560.66666666663"/>
    <n v="882168"/>
    <n v="1984878"/>
    <n v="33081"/>
    <n v="0"/>
    <n v="507241.99999999919"/>
    <n v="0"/>
    <n v="286702"/>
    <n v="793944"/>
    <n v="1786374"/>
    <x v="2"/>
    <n v="0"/>
    <n v="0"/>
    <n v="0"/>
    <n v="0"/>
  </r>
  <r>
    <n v="277"/>
    <x v="2"/>
    <s v="P12AP009"/>
    <s v="MULTI FOOD CONTAINER"/>
    <x v="3"/>
    <n v="18919"/>
    <n v="75.666666666666629"/>
    <n v="135.40802912433702"/>
    <n v="96.469343041445669"/>
    <n v="282"/>
    <n v="0"/>
    <n v="36"/>
    <n v="0"/>
    <n v="60"/>
    <n v="84"/>
    <n v="12"/>
    <n v="75"/>
    <n v="282"/>
    <n v="87.696253890371892"/>
    <n v="34.581386727951212"/>
    <n v="60"/>
    <n v="60"/>
    <n v="60"/>
    <n v="82.904670790945985"/>
    <n v="1135140"/>
    <n v="1431537.666666666"/>
    <n v="2561784.5030033323"/>
    <n v="1825103.5010011105"/>
    <n v="1135140"/>
    <n v="5335158"/>
    <n v="17027"/>
    <n v="1021620"/>
    <n v="1288376.3333333328"/>
    <n v="2305592.5119000864"/>
    <n v="1642583.5039666954"/>
    <n v="1021620"/>
    <n v="4801614"/>
    <x v="1"/>
    <n v="0"/>
    <n v="0"/>
    <n v="0"/>
    <n v="0"/>
  </r>
  <r>
    <n v="278"/>
    <x v="2"/>
    <s v="P12AP010"/>
    <s v="DIVIDED BOWL WITH SPOON"/>
    <x v="2"/>
    <n v="39189"/>
    <n v="11.33333333333343"/>
    <n v="0"/>
    <n v="2.333333333333333"/>
    <n v="169"/>
    <n v="0"/>
    <n v="0"/>
    <n v="0"/>
    <n v="0"/>
    <n v="0"/>
    <n v="12"/>
    <n v="75"/>
    <n v="169"/>
    <n v="2172.8571428571431"/>
    <n v="0"/>
    <n v="0"/>
    <n v="0"/>
    <n v="0"/>
    <n v="2172.8571428571431"/>
    <n v="0"/>
    <n v="444142.00000000378"/>
    <n v="0"/>
    <n v="91440.999999999985"/>
    <n v="0"/>
    <n v="6622941"/>
    <n v="35270"/>
    <n v="0"/>
    <n v="399726.66666667006"/>
    <n v="0"/>
    <n v="82296.666666666657"/>
    <n v="0"/>
    <n v="5960630"/>
    <x v="2"/>
    <n v="0"/>
    <n v="0"/>
    <n v="0"/>
    <n v="0"/>
  </r>
  <r>
    <n v="279"/>
    <x v="2"/>
    <s v="P12AP011"/>
    <s v="MULTI USE CONTAINERS"/>
    <x v="3"/>
    <n v="40270"/>
    <n v="4.6666666666666998"/>
    <n v="0"/>
    <n v="3.6666666666666665"/>
    <n v="105"/>
    <n v="0"/>
    <n v="0"/>
    <n v="0"/>
    <n v="0"/>
    <n v="0"/>
    <n v="12"/>
    <n v="75"/>
    <n v="105"/>
    <n v="859.09090909090912"/>
    <n v="0"/>
    <n v="0"/>
    <n v="0"/>
    <n v="0"/>
    <n v="859.09090909090912"/>
    <n v="0"/>
    <n v="187926.666666668"/>
    <n v="0"/>
    <n v="147656.66666666666"/>
    <n v="0"/>
    <n v="4228350"/>
    <n v="36243"/>
    <n v="0"/>
    <n v="169134.00000000119"/>
    <n v="0"/>
    <n v="132891"/>
    <n v="0"/>
    <n v="3805515"/>
    <x v="2"/>
    <n v="0"/>
    <n v="0"/>
    <n v="0"/>
    <n v="0"/>
  </r>
  <r>
    <n v="280"/>
    <x v="2"/>
    <s v="P12AP013"/>
    <s v="360 CUP WITH HANDLE"/>
    <x v="3"/>
    <n v="45081"/>
    <n v="193.99999999999937"/>
    <n v="297.55001511469925"/>
    <n v="231.51667170489975"/>
    <n v="603"/>
    <n v="12"/>
    <n v="24"/>
    <n v="0"/>
    <n v="60"/>
    <n v="132"/>
    <n v="12"/>
    <n v="75"/>
    <n v="615"/>
    <n v="79.691885098957769"/>
    <n v="201.34169437694857"/>
    <n v="96"/>
    <n v="201.34169437694857"/>
    <n v="204"/>
    <n v="75.344464042715643"/>
    <n v="9196524"/>
    <n v="8745713.9999999721"/>
    <n v="13413852.231385756"/>
    <n v="10437003.077128585"/>
    <n v="2704860"/>
    <n v="27724815"/>
    <n v="40573"/>
    <n v="8276892"/>
    <n v="7871161.9999999749"/>
    <n v="12072496.763248693"/>
    <n v="9393325.9210828971"/>
    <n v="2434380"/>
    <n v="24952395"/>
    <x v="1"/>
    <n v="108"/>
    <n v="0"/>
    <n v="0"/>
    <n v="0"/>
  </r>
  <r>
    <n v="281"/>
    <x v="2"/>
    <s v="P12AP015"/>
    <s v="CUP SOFT SPOUT"/>
    <x v="3"/>
    <n v="22162"/>
    <n v="189.33333333333226"/>
    <n v="0"/>
    <n v="86"/>
    <n v="366"/>
    <n v="0"/>
    <n v="0"/>
    <n v="0"/>
    <n v="0"/>
    <n v="96"/>
    <n v="12"/>
    <n v="75"/>
    <n v="366"/>
    <n v="127.67441860465115"/>
    <n v="0"/>
    <n v="96"/>
    <n v="0"/>
    <n v="0"/>
    <n v="127.67441860465115"/>
    <n v="0"/>
    <n v="4196005.3333333097"/>
    <n v="0"/>
    <n v="1905932"/>
    <n v="0"/>
    <n v="8111292"/>
    <n v="19946"/>
    <n v="0"/>
    <n v="3776442.6666666451"/>
    <n v="0"/>
    <n v="1715356"/>
    <n v="0"/>
    <n v="7300236"/>
    <x v="2"/>
    <n v="-96"/>
    <n v="0"/>
    <n v="0"/>
    <n v="0"/>
  </r>
  <r>
    <n v="282"/>
    <x v="2"/>
    <s v="P12B0371"/>
    <s v="SIKAT BOTOL BD 037-1"/>
    <x v="3"/>
    <n v="10054"/>
    <n v="4573.00000000001"/>
    <n v="5333.2758472594278"/>
    <n v="4740.7586157531423"/>
    <n v="6305"/>
    <n v="1320"/>
    <n v="768"/>
    <n v="1250"/>
    <n v="1008"/>
    <n v="1368"/>
    <n v="24"/>
    <n v="75"/>
    <n v="8875"/>
    <n v="56.161897615979356"/>
    <n v="7302.1723866422835"/>
    <n v="0"/>
    <n v="3000"/>
    <n v="3000"/>
    <n v="47.775418016349583"/>
    <n v="30162000"/>
    <n v="45976942.000000104"/>
    <n v="53620755.368346289"/>
    <n v="47663587.122782096"/>
    <n v="10134432"/>
    <n v="89229250"/>
    <n v="9048"/>
    <n v="27144000"/>
    <n v="41376504.000000089"/>
    <n v="48255479.866003305"/>
    <n v="42894383.955334432"/>
    <n v="9120384"/>
    <n v="80301000"/>
    <x v="1"/>
    <n v="3000"/>
    <n v="0"/>
    <n v="0"/>
    <n v="0"/>
  </r>
  <r>
    <n v="283"/>
    <x v="2"/>
    <s v="P12B3111"/>
    <s v="GUNTING KUKU BD 331-11"/>
    <x v="3"/>
    <n v="14564"/>
    <n v="470.33333333333343"/>
    <n v="0"/>
    <n v="110"/>
    <n v="2"/>
    <n v="0"/>
    <n v="0"/>
    <n v="0"/>
    <n v="24"/>
    <n v="216"/>
    <n v="24"/>
    <n v="75"/>
    <n v="2"/>
    <n v="0.54545454545454541"/>
    <n v="249"/>
    <n v="192"/>
    <n v="0"/>
    <n v="0"/>
    <n v="7.0909090909090908"/>
    <n v="0"/>
    <n v="6849934.6666666679"/>
    <n v="0"/>
    <n v="1602040"/>
    <n v="349536"/>
    <n v="29128"/>
    <n v="13108"/>
    <n v="0"/>
    <n v="6165129.3333333349"/>
    <n v="0"/>
    <n v="1441880"/>
    <n v="314592"/>
    <n v="26216"/>
    <x v="2"/>
    <n v="-192"/>
    <n v="0"/>
    <n v="0"/>
    <n v="0"/>
  </r>
  <r>
    <n v="284"/>
    <x v="2"/>
    <s v="P12B348P"/>
    <s v="SPOON &amp; FORK PINK"/>
    <x v="1"/>
    <n v="32455"/>
    <n v="1.3333333333333"/>
    <n v="0"/>
    <n v="1.3333333333333333"/>
    <n v="27"/>
    <n v="0"/>
    <n v="0"/>
    <n v="0"/>
    <n v="0"/>
    <n v="0"/>
    <n v="24"/>
    <n v="75"/>
    <n v="27"/>
    <n v="607.5"/>
    <n v="0"/>
    <n v="0"/>
    <n v="0"/>
    <n v="0"/>
    <n v="607.5"/>
    <n v="0"/>
    <n v="43273.333333332252"/>
    <n v="0"/>
    <n v="43273.333333333328"/>
    <n v="0"/>
    <n v="876285"/>
    <n v="29210"/>
    <n v="0"/>
    <n v="38946.666666665689"/>
    <n v="0"/>
    <n v="38946.666666666664"/>
    <n v="0"/>
    <n v="788670"/>
    <x v="2"/>
    <n v="0"/>
    <n v="0"/>
    <n v="0"/>
    <n v="0"/>
  </r>
  <r>
    <n v="285"/>
    <x v="2"/>
    <s v="P12BD037"/>
    <s v="SIKAT BOTOL BD 037"/>
    <x v="3"/>
    <n v="9818"/>
    <n v="4059.3333333333157"/>
    <n v="4706.6240341836965"/>
    <n v="4195.2080113945649"/>
    <n v="5835"/>
    <n v="1104"/>
    <n v="600"/>
    <n v="1285"/>
    <n v="864"/>
    <n v="1152"/>
    <n v="24"/>
    <n v="65"/>
    <n v="8224"/>
    <n v="58.809956343019493"/>
    <n v="4708.2413922052529"/>
    <n v="0"/>
    <n v="3000"/>
    <n v="3000"/>
    <n v="52.784338314818839"/>
    <n v="29454000"/>
    <n v="39854534.666666493"/>
    <n v="46209634.767615534"/>
    <n v="41188552.25587184"/>
    <n v="8482752"/>
    <n v="80743232"/>
    <n v="8836"/>
    <n v="26508000"/>
    <n v="35868269.333333179"/>
    <n v="41587729.966047145"/>
    <n v="37068857.988682374"/>
    <n v="7634304"/>
    <n v="72667264"/>
    <x v="1"/>
    <n v="3000"/>
    <n v="0"/>
    <n v="0"/>
    <n v="0"/>
  </r>
  <r>
    <n v="286"/>
    <x v="2"/>
    <s v="P12BD03A"/>
    <s v="SIKAT BOTOL BD 037-6"/>
    <x v="3"/>
    <n v="13745"/>
    <n v="1723.3333333333414"/>
    <n v="1992.9834341646208"/>
    <n v="1697.66114472154"/>
    <n v="2937"/>
    <n v="528"/>
    <n v="96"/>
    <n v="530"/>
    <n v="240"/>
    <n v="264"/>
    <n v="24"/>
    <n v="65"/>
    <n v="3995"/>
    <n v="70.597127331708165"/>
    <n v="1436.2492477279575"/>
    <n v="0"/>
    <n v="1000"/>
    <n v="1008"/>
    <n v="57.432248642913926"/>
    <n v="13854960"/>
    <n v="23687216.66666678"/>
    <n v="27393557.302592713"/>
    <n v="23334352.434197567"/>
    <n v="3298800"/>
    <n v="54911275"/>
    <n v="12371"/>
    <n v="12469968"/>
    <n v="21319356.666666768"/>
    <n v="24655198.064050525"/>
    <n v="21001766.021350171"/>
    <n v="2969040"/>
    <n v="49422145"/>
    <x v="1"/>
    <n v="1008"/>
    <n v="0"/>
    <n v="0"/>
    <n v="0"/>
  </r>
  <r>
    <n v="287"/>
    <x v="2"/>
    <s v="P12BD195"/>
    <s v="SISIR BD 195"/>
    <x v="3"/>
    <n v="13636"/>
    <n v="1531.6666666666754"/>
    <n v="1888.2059340733304"/>
    <n v="1589.4019780244435"/>
    <n v="3315"/>
    <n v="408"/>
    <n v="192"/>
    <n v="197"/>
    <n v="312"/>
    <n v="264"/>
    <n v="24"/>
    <n v="65"/>
    <n v="3920"/>
    <n v="73.990092894040316"/>
    <n v="1099.9102197929569"/>
    <n v="0"/>
    <n v="700"/>
    <n v="696"/>
    <n v="57.376185029761942"/>
    <n v="9490656"/>
    <n v="20885806.666666787"/>
    <n v="25747576.117023934"/>
    <n v="21673085.372341312"/>
    <n v="4254432"/>
    <n v="53453120"/>
    <n v="12272"/>
    <n v="8541312"/>
    <n v="18796613.33333344"/>
    <n v="23172063.22294791"/>
    <n v="19505141.074315969"/>
    <n v="3828864"/>
    <n v="48106240"/>
    <x v="1"/>
    <n v="696"/>
    <n v="0"/>
    <n v="0"/>
    <n v="0"/>
  </r>
  <r>
    <n v="288"/>
    <x v="2"/>
    <s v="P12BFS01"/>
    <s v="FOOD SCISSOR"/>
    <x v="2"/>
    <n v="50455"/>
    <n v="-0.33333333333332998"/>
    <n v="0"/>
    <n v="0"/>
    <n v="74"/>
    <n v="0"/>
    <n v="0"/>
    <n v="0"/>
    <n v="0"/>
    <n v="0"/>
    <n v="24"/>
    <n v="65"/>
    <n v="74"/>
    <n v="9999"/>
    <n v="0"/>
    <n v="0"/>
    <n v="0"/>
    <n v="0"/>
    <n v="9999"/>
    <n v="0"/>
    <n v="-16818.333333333165"/>
    <n v="0"/>
    <n v="0"/>
    <n v="0"/>
    <n v="3733670"/>
    <n v="45410"/>
    <n v="0"/>
    <n v="-15136.666666666515"/>
    <n v="0"/>
    <n v="0"/>
    <n v="0"/>
    <n v="3360340"/>
    <x v="2"/>
    <n v="0"/>
    <n v="0"/>
    <n v="0"/>
    <n v="0"/>
  </r>
  <r>
    <n v="289"/>
    <x v="2"/>
    <s v="P12BIB02"/>
    <s v="CRUMB CATCHER BIB"/>
    <x v="3"/>
    <n v="18545"/>
    <n v="730.66666666666424"/>
    <n v="0"/>
    <n v="418.33333333333337"/>
    <n v="859"/>
    <n v="0"/>
    <n v="0"/>
    <n v="1"/>
    <n v="0"/>
    <n v="360"/>
    <n v="60"/>
    <n v="65"/>
    <n v="860"/>
    <n v="61.673306772908361"/>
    <n v="46.388888888888914"/>
    <n v="359"/>
    <n v="0"/>
    <n v="0"/>
    <n v="61.673306772908361"/>
    <n v="0"/>
    <n v="13550213.333333289"/>
    <n v="0"/>
    <n v="7757991.666666667"/>
    <n v="0"/>
    <n v="15948700"/>
    <n v="16691"/>
    <n v="0"/>
    <n v="12195557.333333293"/>
    <n v="0"/>
    <n v="6982401.666666667"/>
    <n v="0"/>
    <n v="14354260"/>
    <x v="2"/>
    <n v="-359"/>
    <n v="179"/>
    <n v="179"/>
    <n v="179"/>
  </r>
  <r>
    <n v="290"/>
    <x v="2"/>
    <s v="P12BO02A"/>
    <s v="POP N EAT BOOSTER GREEN"/>
    <x v="2"/>
    <n v="274364"/>
    <n v="0"/>
    <n v="0"/>
    <n v="0"/>
    <n v="7"/>
    <n v="0"/>
    <n v="0"/>
    <n v="0"/>
    <n v="0"/>
    <n v="0"/>
    <n v="6"/>
    <n v="65"/>
    <n v="7"/>
    <n v="9999"/>
    <n v="0"/>
    <n v="0"/>
    <n v="0"/>
    <n v="0"/>
    <n v="9999"/>
    <n v="0"/>
    <n v="0"/>
    <n v="0"/>
    <n v="0"/>
    <n v="0"/>
    <n v="1920548"/>
    <n v="246927"/>
    <n v="0"/>
    <n v="0"/>
    <n v="0"/>
    <n v="0"/>
    <n v="0"/>
    <n v="1728489"/>
    <x v="2"/>
    <n v="0"/>
    <n v="0"/>
    <n v="0"/>
    <n v="0"/>
  </r>
  <r>
    <n v="291"/>
    <x v="2"/>
    <s v="P12BPE01"/>
    <s v="BREAST PUMP SINGLE"/>
    <x v="3"/>
    <n v="392973"/>
    <n v="3.9999999999999596"/>
    <n v="0"/>
    <n v="1"/>
    <n v="30"/>
    <n v="0"/>
    <n v="0"/>
    <n v="0"/>
    <n v="0"/>
    <n v="0"/>
    <n v="12"/>
    <n v="65"/>
    <n v="30"/>
    <n v="900"/>
    <n v="0"/>
    <n v="0"/>
    <n v="0"/>
    <n v="0"/>
    <n v="900"/>
    <n v="0"/>
    <n v="1571891.9999999842"/>
    <n v="0"/>
    <n v="392973"/>
    <n v="0"/>
    <n v="11789190"/>
    <n v="353676"/>
    <n v="0"/>
    <n v="1414703.9999999858"/>
    <n v="0"/>
    <n v="353676"/>
    <n v="0"/>
    <n v="10610280"/>
    <x v="2"/>
    <n v="0"/>
    <n v="0"/>
    <n v="0"/>
    <n v="0"/>
  </r>
  <r>
    <n v="292"/>
    <x v="2"/>
    <s v="P12BPE02"/>
    <s v="BREAST PUMP DOUBLE"/>
    <x v="3"/>
    <n v="478378"/>
    <n v="39"/>
    <n v="0"/>
    <n v="23"/>
    <n v="97"/>
    <n v="0"/>
    <n v="0"/>
    <n v="16"/>
    <n v="8"/>
    <n v="24"/>
    <n v="8"/>
    <n v="65"/>
    <n v="113"/>
    <n v="147.39130434782606"/>
    <n v="0"/>
    <n v="0"/>
    <n v="0"/>
    <n v="0"/>
    <n v="157.82608695652175"/>
    <n v="0"/>
    <n v="18656742"/>
    <n v="0"/>
    <n v="11002694"/>
    <n v="3827024"/>
    <n v="54056714"/>
    <n v="430540"/>
    <n v="0"/>
    <n v="16791060"/>
    <n v="0"/>
    <n v="9902420"/>
    <n v="3444320"/>
    <n v="48651020"/>
    <x v="2"/>
    <n v="0"/>
    <n v="0"/>
    <n v="0"/>
    <n v="0"/>
  </r>
  <r>
    <n v="293"/>
    <x v="2"/>
    <s v="P12BPM01"/>
    <s v="BREASTPUMP MANUAL"/>
    <x v="3"/>
    <n v="149189"/>
    <n v="508.99999999999949"/>
    <n v="646.91744436541921"/>
    <n v="527.9724814551397"/>
    <n v="1150"/>
    <n v="125"/>
    <n v="72"/>
    <n v="44"/>
    <n v="132"/>
    <n v="132"/>
    <n v="12"/>
    <n v="65"/>
    <n v="1319"/>
    <n v="74.9470879447003"/>
    <n v="339.85782085155506"/>
    <n v="28"/>
    <n v="339.85782085155506"/>
    <n v="336"/>
    <n v="64.780794208766935"/>
    <n v="50127504"/>
    <n v="75937200.999999925"/>
    <n v="96512966.607432529"/>
    <n v="78767686.535810843"/>
    <n v="19692948"/>
    <n v="196780291"/>
    <n v="134270"/>
    <n v="45114720"/>
    <n v="68343429.999999925"/>
    <n v="86861605.254944831"/>
    <n v="70890865.084981605"/>
    <n v="17723640"/>
    <n v="177102130"/>
    <x v="1"/>
    <n v="308"/>
    <n v="0"/>
    <n v="0"/>
    <n v="0"/>
  </r>
  <r>
    <n v="294"/>
    <x v="2"/>
    <s v="P12BPM02"/>
    <s v="BREAST PUMP SILICONE 150ML"/>
    <x v="3"/>
    <n v="60541"/>
    <n v="7.0000000000000595"/>
    <n v="0"/>
    <n v="3.333333333333333"/>
    <n v="6"/>
    <n v="0"/>
    <n v="0"/>
    <n v="0"/>
    <n v="0"/>
    <n v="0"/>
    <n v="12"/>
    <n v="65"/>
    <n v="6"/>
    <n v="54.000000000000007"/>
    <n v="1.2222222222222214"/>
    <n v="0"/>
    <n v="0"/>
    <n v="0"/>
    <n v="54.000000000000007"/>
    <n v="0"/>
    <n v="423787.00000000361"/>
    <n v="0"/>
    <n v="201803.33333333331"/>
    <n v="0"/>
    <n v="363246"/>
    <n v="54487"/>
    <n v="0"/>
    <n v="381409.00000000326"/>
    <n v="0"/>
    <n v="181623.33333333331"/>
    <n v="0"/>
    <n v="326922"/>
    <x v="2"/>
    <n v="0"/>
    <n v="0"/>
    <n v="0"/>
    <n v="0"/>
  </r>
  <r>
    <n v="295"/>
    <x v="2"/>
    <s v="P12BPM04"/>
    <s v="BREAST SHIELD"/>
    <x v="3"/>
    <n v="23784"/>
    <n v="2358.6666666666642"/>
    <n v="2941.9772357868069"/>
    <n v="2361.6590785956023"/>
    <n v="3664"/>
    <n v="636"/>
    <n v="312"/>
    <n v="1541"/>
    <n v="516"/>
    <n v="564"/>
    <n v="12"/>
    <n v="65"/>
    <n v="5841"/>
    <n v="74.197838963362685"/>
    <n v="1701.9052394106111"/>
    <n v="0"/>
    <n v="1701.9052394106111"/>
    <n v="1704"/>
    <n v="65.026609606039756"/>
    <n v="40527936"/>
    <n v="56098527.99999994"/>
    <n v="69971986.575953409"/>
    <n v="56169699.525317803"/>
    <n v="12272544"/>
    <n v="138922344"/>
    <n v="21405"/>
    <n v="36474120"/>
    <n v="50487259.999999948"/>
    <n v="62973022.732016601"/>
    <n v="50551312.577338867"/>
    <n v="11044980"/>
    <n v="125026605"/>
    <x v="1"/>
    <n v="1704"/>
    <n v="0"/>
    <n v="0"/>
    <n v="0"/>
  </r>
  <r>
    <n v="296"/>
    <x v="2"/>
    <s v="P12BPM05"/>
    <s v="NIPPLE PULLER"/>
    <x v="3"/>
    <n v="18919"/>
    <n v="639.66666666666765"/>
    <n v="822.22108638222687"/>
    <n v="673.74036212740896"/>
    <n v="1349"/>
    <n v="168"/>
    <n v="120"/>
    <n v="306"/>
    <n v="168"/>
    <n v="96"/>
    <n v="24"/>
    <n v="65"/>
    <n v="1823"/>
    <n v="81.173702919193289"/>
    <n v="290.99187099161281"/>
    <n v="0"/>
    <n v="290.99187099161281"/>
    <n v="288"/>
    <n v="64.866779348850386"/>
    <n v="5448672"/>
    <n v="12101853.666666685"/>
    <n v="15555600.73326535"/>
    <n v="12746493.91108845"/>
    <n v="3178392"/>
    <n v="34489337"/>
    <n v="17027"/>
    <n v="4903776"/>
    <n v="10891604.333333351"/>
    <n v="13999958.437830176"/>
    <n v="11471777.145943392"/>
    <n v="2860536"/>
    <n v="31040221"/>
    <x v="1"/>
    <n v="288"/>
    <n v="0"/>
    <n v="0"/>
    <n v="0"/>
  </r>
  <r>
    <n v="297"/>
    <x v="2"/>
    <s v="P12BPM06"/>
    <s v="BREAST MILK RELIEVER"/>
    <x v="3"/>
    <n v="15000"/>
    <n v="45.333333333332931"/>
    <n v="0"/>
    <n v="22"/>
    <n v="42"/>
    <n v="0"/>
    <n v="0"/>
    <n v="0"/>
    <n v="0"/>
    <n v="36"/>
    <n v="12"/>
    <n v="65"/>
    <n v="42"/>
    <n v="57.272727272727273"/>
    <n v="5.6666666666666643"/>
    <n v="36"/>
    <n v="0"/>
    <n v="0"/>
    <n v="57.272727272727273"/>
    <n v="0"/>
    <n v="679999.99999999395"/>
    <n v="0"/>
    <n v="330000"/>
    <n v="0"/>
    <n v="630000"/>
    <n v="13500"/>
    <n v="0"/>
    <n v="611999.99999999453"/>
    <n v="0"/>
    <n v="297000"/>
    <n v="0"/>
    <n v="567000"/>
    <x v="2"/>
    <n v="-36"/>
    <n v="0"/>
    <n v="0"/>
    <n v="0"/>
  </r>
  <r>
    <n v="298"/>
    <x v="2"/>
    <s v="P12BS349"/>
    <s v="FLEXY HEADSPOON BS 349"/>
    <x v="3"/>
    <n v="12973"/>
    <n v="508.99999999999977"/>
    <n v="0"/>
    <n v="299.33333333333326"/>
    <n v="983"/>
    <n v="24"/>
    <n v="0"/>
    <n v="314"/>
    <n v="0"/>
    <n v="72"/>
    <n v="24"/>
    <n v="65"/>
    <n v="1321"/>
    <n v="132.39420935412031"/>
    <n v="0"/>
    <n v="0"/>
    <n v="0"/>
    <n v="0"/>
    <n v="132.39420935412031"/>
    <n v="0"/>
    <n v="6603256.9999999972"/>
    <n v="0"/>
    <n v="3883251.3333333326"/>
    <n v="0"/>
    <n v="17137333"/>
    <n v="11676"/>
    <n v="0"/>
    <n v="5943083.9999999972"/>
    <n v="0"/>
    <n v="3495015.9999999991"/>
    <n v="0"/>
    <n v="15423996"/>
    <x v="2"/>
    <n v="0"/>
    <n v="0"/>
    <n v="0"/>
    <n v="0"/>
  </r>
  <r>
    <n v="299"/>
    <x v="2"/>
    <s v="P12BS350"/>
    <s v="FLEXY &amp; HEAT INDICATOR SPOON BS350"/>
    <x v="3"/>
    <n v="15764"/>
    <n v="522"/>
    <n v="0"/>
    <n v="212.99999999999997"/>
    <n v="260"/>
    <n v="0"/>
    <n v="24"/>
    <n v="0"/>
    <n v="0"/>
    <n v="288"/>
    <n v="24"/>
    <n v="65"/>
    <n v="260"/>
    <n v="36.619718309859159"/>
    <n v="201.49999999999989"/>
    <n v="312"/>
    <n v="0"/>
    <n v="0"/>
    <n v="36.619718309859159"/>
    <n v="0"/>
    <n v="8228808"/>
    <n v="0"/>
    <n v="3357731.9999999995"/>
    <n v="0"/>
    <n v="4098640"/>
    <n v="14188"/>
    <n v="0"/>
    <n v="7406136"/>
    <n v="0"/>
    <n v="3022043.9999999995"/>
    <n v="0"/>
    <n v="3688880"/>
    <x v="2"/>
    <n v="-312"/>
    <n v="0"/>
    <n v="0"/>
    <n v="0"/>
  </r>
  <r>
    <n v="300"/>
    <x v="2"/>
    <s v="P12BS352"/>
    <s v="GRINDER BOWL BS 352"/>
    <x v="1"/>
    <n v="24545"/>
    <n v="5"/>
    <n v="0"/>
    <n v="4.333333333333333"/>
    <n v="63"/>
    <n v="0"/>
    <n v="0"/>
    <n v="12"/>
    <n v="0"/>
    <n v="0"/>
    <n v="12"/>
    <n v="65"/>
    <n v="75"/>
    <n v="519.23076923076928"/>
    <n v="0"/>
    <n v="0"/>
    <n v="0"/>
    <n v="0"/>
    <n v="519.23076923076928"/>
    <n v="0"/>
    <n v="122725"/>
    <n v="0"/>
    <n v="106361.66666666666"/>
    <n v="0"/>
    <n v="1840875"/>
    <n v="22091"/>
    <n v="0"/>
    <n v="110455"/>
    <n v="0"/>
    <n v="95727.666666666657"/>
    <n v="0"/>
    <n v="1656825"/>
    <x v="2"/>
    <n v="0"/>
    <n v="0"/>
    <n v="0"/>
    <n v="0"/>
  </r>
  <r>
    <n v="301"/>
    <x v="2"/>
    <s v="P12BS353"/>
    <s v="STAY PUT BOWL BS 353"/>
    <x v="1"/>
    <n v="30545"/>
    <n v="3.6666666666666701"/>
    <n v="0"/>
    <n v="3.333333333333333"/>
    <n v="42"/>
    <n v="0"/>
    <n v="0"/>
    <n v="0"/>
    <n v="0"/>
    <n v="0"/>
    <n v="12"/>
    <n v="65"/>
    <n v="42"/>
    <n v="378.00000000000006"/>
    <n v="0"/>
    <n v="0"/>
    <n v="0"/>
    <n v="0"/>
    <n v="378.00000000000006"/>
    <n v="0"/>
    <n v="111998.33333333343"/>
    <n v="0"/>
    <n v="101816.66666666666"/>
    <n v="0"/>
    <n v="1282890"/>
    <n v="27491"/>
    <n v="0"/>
    <n v="100800.33333333343"/>
    <n v="0"/>
    <n v="91636.666666666657"/>
    <n v="0"/>
    <n v="1154622"/>
    <x v="2"/>
    <n v="0"/>
    <n v="0"/>
    <n v="0"/>
    <n v="0"/>
  </r>
  <r>
    <n v="302"/>
    <x v="2"/>
    <s v="P12BS366"/>
    <s v="SILICONE BOTTLE BRUSH"/>
    <x v="2"/>
    <n v="40636"/>
    <n v="3.0000000000000702"/>
    <n v="0"/>
    <n v="2.6666666666666665"/>
    <n v="208"/>
    <n v="0"/>
    <n v="0"/>
    <n v="2"/>
    <n v="0"/>
    <n v="0"/>
    <n v="24"/>
    <n v="65"/>
    <n v="210"/>
    <n v="2362.5"/>
    <n v="0"/>
    <n v="0"/>
    <n v="0"/>
    <n v="0"/>
    <n v="2362.5"/>
    <n v="0"/>
    <n v="121908.00000000285"/>
    <n v="0"/>
    <n v="108362.66666666666"/>
    <n v="0"/>
    <n v="8533560"/>
    <n v="36572"/>
    <n v="0"/>
    <n v="109716.00000000256"/>
    <n v="0"/>
    <n v="97525.333333333328"/>
    <n v="0"/>
    <n v="7680120"/>
    <x v="2"/>
    <n v="0"/>
    <n v="0"/>
    <n v="0"/>
    <n v="0"/>
  </r>
  <r>
    <n v="303"/>
    <x v="2"/>
    <s v="P12BS367"/>
    <s v="BOTTLE &amp; NIPPLE BRUSH BS 367"/>
    <x v="3"/>
    <n v="20378"/>
    <n v="473.00000000000136"/>
    <n v="0"/>
    <n v="347.00000000000006"/>
    <n v="956"/>
    <n v="0"/>
    <n v="0"/>
    <n v="7"/>
    <n v="0"/>
    <n v="100"/>
    <n v="20"/>
    <n v="65"/>
    <n v="963"/>
    <n v="83.256484149855893"/>
    <n v="0"/>
    <n v="93"/>
    <n v="0"/>
    <n v="0"/>
    <n v="83.256484149855893"/>
    <n v="0"/>
    <n v="9638794.0000000279"/>
    <n v="0"/>
    <n v="7071166.0000000009"/>
    <n v="0"/>
    <n v="19624014"/>
    <n v="18340"/>
    <n v="0"/>
    <n v="8674820.0000000242"/>
    <n v="0"/>
    <n v="6363980.0000000009"/>
    <n v="0"/>
    <n v="17661420"/>
    <x v="2"/>
    <n v="-93"/>
    <n v="93"/>
    <n v="93"/>
    <n v="113"/>
  </r>
  <r>
    <n v="304"/>
    <x v="2"/>
    <s v="P12BS368"/>
    <s v="SPONGE BRUSH"/>
    <x v="3"/>
    <n v="22000"/>
    <n v="2236.3333333333226"/>
    <n v="0"/>
    <n v="1433.0000000000002"/>
    <n v="1375"/>
    <n v="24"/>
    <n v="0"/>
    <n v="9"/>
    <n v="0"/>
    <n v="420"/>
    <n v="12"/>
    <n v="65"/>
    <n v="1408"/>
    <n v="29.476622470341937"/>
    <n v="1696.8333333333335"/>
    <n v="411"/>
    <n v="0"/>
    <n v="0"/>
    <n v="29.476622470341937"/>
    <n v="0"/>
    <n v="49199333.333333097"/>
    <n v="0"/>
    <n v="31526000.000000004"/>
    <n v="0"/>
    <n v="30976000"/>
    <n v="19800"/>
    <n v="0"/>
    <n v="44279399.999999784"/>
    <n v="0"/>
    <n v="28373400.000000004"/>
    <n v="0"/>
    <n v="27878400"/>
    <x v="2"/>
    <n v="-411"/>
    <n v="279"/>
    <n v="375"/>
    <n v="447"/>
  </r>
  <r>
    <n v="305"/>
    <x v="2"/>
    <s v="P12BS369"/>
    <s v="COMPLETE SET BRUSH"/>
    <x v="3"/>
    <n v="33273"/>
    <n v="1204.0000000000061"/>
    <n v="0"/>
    <n v="771.66666666666652"/>
    <n v="1290"/>
    <n v="60"/>
    <n v="12"/>
    <n v="340"/>
    <n v="0"/>
    <n v="60"/>
    <n v="12"/>
    <n v="65"/>
    <n v="1690"/>
    <n v="65.701943844492448"/>
    <n v="0"/>
    <n v="0"/>
    <n v="0"/>
    <n v="0"/>
    <n v="65.701943844492448"/>
    <n v="0"/>
    <n v="40060692.000000201"/>
    <n v="0"/>
    <n v="25675664.999999996"/>
    <n v="0"/>
    <n v="56231370"/>
    <n v="29946"/>
    <n v="0"/>
    <n v="36054984.000000186"/>
    <n v="0"/>
    <n v="23108329.999999996"/>
    <n v="0"/>
    <n v="50608740"/>
    <x v="2"/>
    <n v="0"/>
    <n v="0"/>
    <n v="0"/>
    <n v="0"/>
  </r>
  <r>
    <n v="306"/>
    <x v="2"/>
    <s v="P12BT003"/>
    <s v="FOLDABLE WASH BASIN"/>
    <x v="1"/>
    <n v="49636"/>
    <n v="9.6666666666666394"/>
    <n v="39.452501085307702"/>
    <n v="21.484167028435902"/>
    <n v="99"/>
    <n v="0"/>
    <n v="0"/>
    <n v="0"/>
    <n v="0"/>
    <n v="36"/>
    <n v="12"/>
    <n v="65"/>
    <n v="99"/>
    <n v="138.24133819426103"/>
    <n v="0"/>
    <n v="36"/>
    <n v="0"/>
    <n v="0"/>
    <n v="83.150767031195656"/>
    <n v="0"/>
    <n v="479814.66666666529"/>
    <n v="1958264.3438703332"/>
    <n v="1066388.1146234444"/>
    <n v="0"/>
    <n v="4913964"/>
    <n v="44672"/>
    <n v="0"/>
    <n v="431829.33333333209"/>
    <n v="1762422.1284828656"/>
    <n v="959740.70949428866"/>
    <n v="0"/>
    <n v="4422528"/>
    <x v="1"/>
    <n v="-36"/>
    <n v="0"/>
    <n v="0"/>
    <n v="0"/>
  </r>
  <r>
    <n v="307"/>
    <x v="2"/>
    <s v="P12BT008"/>
    <s v="RUBBER MAT"/>
    <x v="2"/>
    <n v="35182"/>
    <n v="16.00000000000006"/>
    <n v="0"/>
    <n v="7.6666666666666661"/>
    <n v="133"/>
    <n v="0"/>
    <n v="0"/>
    <n v="0"/>
    <n v="0"/>
    <n v="0"/>
    <n v="24"/>
    <n v="65"/>
    <n v="133"/>
    <n v="520.43478260869574"/>
    <n v="0"/>
    <n v="0"/>
    <n v="0"/>
    <n v="0"/>
    <n v="520.43478260869574"/>
    <n v="0"/>
    <n v="562912.0000000021"/>
    <n v="0"/>
    <n v="269728.66666666663"/>
    <n v="0"/>
    <n v="4679206"/>
    <n v="31664"/>
    <n v="0"/>
    <n v="506624.00000000192"/>
    <n v="0"/>
    <n v="242757.33333333331"/>
    <n v="0"/>
    <n v="4211312"/>
    <x v="2"/>
    <n v="0"/>
    <n v="0"/>
    <n v="0"/>
    <n v="0"/>
  </r>
  <r>
    <n v="308"/>
    <x v="2"/>
    <s v="P12BT02P"/>
    <s v="BATHTUB NEWBORN TO TODDLER PINK"/>
    <x v="1"/>
    <n v="188727"/>
    <n v="2.3333333333333002"/>
    <n v="0"/>
    <n v="2.333333333333333"/>
    <n v="21"/>
    <n v="0"/>
    <n v="0"/>
    <n v="0"/>
    <n v="0"/>
    <n v="0"/>
    <n v="11"/>
    <n v="65"/>
    <n v="21"/>
    <n v="270.00000000000006"/>
    <n v="0"/>
    <n v="0"/>
    <n v="0"/>
    <n v="0"/>
    <n v="270.00000000000006"/>
    <n v="0"/>
    <n v="440362.99999999371"/>
    <n v="0"/>
    <n v="440362.99999999994"/>
    <n v="0"/>
    <n v="3963267"/>
    <n v="169855"/>
    <n v="0"/>
    <n v="396328.33333332773"/>
    <n v="0"/>
    <n v="396328.33333333326"/>
    <n v="0"/>
    <n v="3566955"/>
    <x v="2"/>
    <n v="0"/>
    <n v="0"/>
    <n v="0"/>
    <n v="0"/>
  </r>
  <r>
    <n v="309"/>
    <x v="2"/>
    <s v="P12BT02Y"/>
    <s v="BATHTUB NEWBORN TO TODDLER YELLOW"/>
    <x v="1"/>
    <n v="188727"/>
    <n v="1"/>
    <n v="0"/>
    <n v="0.33333333333333331"/>
    <n v="21"/>
    <n v="0"/>
    <n v="0"/>
    <n v="0"/>
    <n v="0"/>
    <n v="0"/>
    <n v="11"/>
    <n v="65"/>
    <n v="21"/>
    <n v="1890"/>
    <n v="0"/>
    <n v="0"/>
    <n v="0"/>
    <n v="0"/>
    <n v="1890"/>
    <n v="0"/>
    <n v="188727"/>
    <n v="0"/>
    <n v="62909"/>
    <n v="0"/>
    <n v="3963267"/>
    <n v="169855"/>
    <n v="0"/>
    <n v="169855"/>
    <n v="0"/>
    <n v="56618.333333333328"/>
    <n v="0"/>
    <n v="3566955"/>
    <x v="2"/>
    <n v="0"/>
    <n v="0"/>
    <n v="0"/>
    <n v="0"/>
  </r>
  <r>
    <n v="310"/>
    <x v="2"/>
    <s v="P12CB050"/>
    <s v="BABYSAFE COTTON BALLS CB 050"/>
    <x v="3"/>
    <n v="12432"/>
    <n v="4538.6666666666697"/>
    <n v="5142.2403592953497"/>
    <n v="4467.4134530984502"/>
    <n v="7155"/>
    <n v="1584"/>
    <n v="720"/>
    <n v="932"/>
    <n v="1224"/>
    <n v="936"/>
    <n v="72"/>
    <n v="65"/>
    <n v="9671"/>
    <n v="64.943619623738982"/>
    <n v="3926.6361743419911"/>
    <n v="0"/>
    <n v="3926.6361743419911"/>
    <n v="3960"/>
    <n v="65.224047937413559"/>
    <n v="49230720"/>
    <n v="56424704.000000037"/>
    <n v="63928332.146759786"/>
    <n v="55538884.048919931"/>
    <n v="15216768"/>
    <n v="120229872"/>
    <n v="11189"/>
    <n v="44308440"/>
    <n v="50783141.333333366"/>
    <n v="57536527.380155668"/>
    <n v="49985889.126718558"/>
    <n v="13695336"/>
    <n v="108208819"/>
    <x v="1"/>
    <n v="3960"/>
    <n v="0"/>
    <n v="0"/>
    <n v="0"/>
  </r>
  <r>
    <n v="311"/>
    <x v="2"/>
    <s v="P12DL114"/>
    <s v="BRUSH &amp; COMB DL 1014"/>
    <x v="3"/>
    <n v="21818"/>
    <n v="104.33333333333364"/>
    <n v="202.37666653292581"/>
    <n v="134.4588888443086"/>
    <n v="200"/>
    <n v="0"/>
    <n v="0"/>
    <n v="0"/>
    <n v="0"/>
    <n v="228"/>
    <n v="12"/>
    <n v="65"/>
    <n v="200"/>
    <n v="44.62330494897563"/>
    <n v="293.70425902892777"/>
    <n v="228"/>
    <n v="293.70425902892777"/>
    <n v="288"/>
    <n v="63.727285549221037"/>
    <n v="6283584"/>
    <n v="2276344.6666666735"/>
    <n v="4415454.1104153758"/>
    <n v="2933624.036805125"/>
    <n v="0"/>
    <n v="4363600"/>
    <n v="19636"/>
    <n v="5655168"/>
    <n v="2048689.3333333393"/>
    <n v="3973868.2240405311"/>
    <n v="2640234.7413468435"/>
    <n v="0"/>
    <n v="3927200"/>
    <x v="1"/>
    <n v="60"/>
    <n v="0"/>
    <n v="0"/>
    <n v="0"/>
  </r>
  <r>
    <n v="312"/>
    <x v="2"/>
    <s v="P12DOT0L"/>
    <s v="DOT SLIM L"/>
    <x v="3"/>
    <n v="13514"/>
    <n v="574.66666666666754"/>
    <n v="726.88520646411928"/>
    <n v="593.62840215470646"/>
    <n v="1281"/>
    <n v="168"/>
    <n v="0"/>
    <n v="101"/>
    <n v="84"/>
    <n v="120"/>
    <n v="12"/>
    <n v="65"/>
    <n v="1550"/>
    <n v="78.331831548520753"/>
    <n v="379.08007779931631"/>
    <n v="0"/>
    <n v="379.08007779931631"/>
    <n v="384"/>
    <n v="65.248636462616616"/>
    <n v="5189376"/>
    <n v="7766045.3333333451"/>
    <n v="9823126.680156108"/>
    <n v="8022294.2267187033"/>
    <n v="1135176"/>
    <n v="20946700"/>
    <n v="12163"/>
    <n v="4670592"/>
    <n v="6989670.6666666772"/>
    <n v="8841104.7662230823"/>
    <n v="7220302.2554076947"/>
    <n v="1021692"/>
    <n v="18852650"/>
    <x v="1"/>
    <n v="384"/>
    <n v="0"/>
    <n v="0"/>
    <n v="0"/>
  </r>
  <r>
    <n v="313"/>
    <x v="2"/>
    <s v="P12DOT0M"/>
    <s v="DOT SLIM M"/>
    <x v="3"/>
    <n v="13514"/>
    <n v="382.33333333333314"/>
    <n v="495.98087438949597"/>
    <n v="426.99362479649858"/>
    <n v="1026"/>
    <n v="84"/>
    <n v="24"/>
    <n v="58"/>
    <n v="48"/>
    <n v="120"/>
    <n v="12"/>
    <n v="65"/>
    <n v="1168"/>
    <n v="82.062115135090735"/>
    <n v="205.13372811524277"/>
    <n v="38"/>
    <n v="205.13372811524277"/>
    <n v="204"/>
    <n v="64.9203457815711"/>
    <n v="2756856"/>
    <n v="5166852.6666666642"/>
    <n v="6702685.5364996484"/>
    <n v="5770391.8454998815"/>
    <n v="648672"/>
    <n v="15784352"/>
    <n v="12163"/>
    <n v="2481252"/>
    <n v="4650320.3333333312"/>
    <n v="6032615.375199439"/>
    <n v="5193523.4583998118"/>
    <n v="583824"/>
    <n v="14206384"/>
    <x v="1"/>
    <n v="166"/>
    <n v="0"/>
    <n v="0"/>
    <n v="14"/>
  </r>
  <r>
    <n v="314"/>
    <x v="2"/>
    <s v="P12DOTXL"/>
    <s v="DOT REGULAR XL"/>
    <x v="3"/>
    <n v="13514"/>
    <n v="1137.6666666666711"/>
    <n v="1248.4226513206413"/>
    <n v="1157.4742171068806"/>
    <n v="5064"/>
    <n v="360"/>
    <n v="108"/>
    <n v="1728"/>
    <n v="240"/>
    <n v="348"/>
    <n v="12"/>
    <n v="65"/>
    <n v="7152"/>
    <n v="185.36913982956361"/>
    <n v="0"/>
    <n v="0"/>
    <n v="0"/>
    <n v="0"/>
    <n v="159.23233341737748"/>
    <n v="0"/>
    <n v="15374427.333333394"/>
    <n v="16871183.709947146"/>
    <n v="15642106.569982383"/>
    <n v="3243360"/>
    <n v="96652128"/>
    <n v="12163"/>
    <n v="0"/>
    <n v="13837439.66666672"/>
    <n v="15184564.708012961"/>
    <n v="14078358.902670989"/>
    <n v="2919120"/>
    <n v="86989776"/>
    <x v="1"/>
    <n v="0"/>
    <n v="0"/>
    <n v="0"/>
    <n v="44"/>
  </r>
  <r>
    <n v="315"/>
    <x v="2"/>
    <s v="P12DWN0L"/>
    <s v="DOT WIDE NECK L"/>
    <x v="3"/>
    <n v="21081"/>
    <n v="4237.3333333333394"/>
    <n v="5087.6189680102834"/>
    <n v="4385.2063226700948"/>
    <n v="6666"/>
    <n v="1200"/>
    <n v="468"/>
    <n v="1711"/>
    <n v="768"/>
    <n v="888"/>
    <n v="12"/>
    <n v="65"/>
    <n v="9577"/>
    <n v="65.518011892553474"/>
    <n v="4243.8993337954889"/>
    <n v="0"/>
    <n v="3000"/>
    <n v="3000"/>
    <n v="56.490256724991937"/>
    <n v="63243000"/>
    <n v="89327224.000000134"/>
    <n v="107252095.46462478"/>
    <n v="92444534.488208264"/>
    <n v="16190208"/>
    <n v="201892737"/>
    <n v="18973"/>
    <n v="56919000"/>
    <n v="80394925.333333448"/>
    <n v="96527394.680059105"/>
    <n v="83200519.560019702"/>
    <n v="14571264"/>
    <n v="181704421"/>
    <x v="1"/>
    <n v="3000"/>
    <n v="0"/>
    <n v="0"/>
    <n v="0"/>
  </r>
  <r>
    <n v="316"/>
    <x v="2"/>
    <s v="P12DWN0M"/>
    <s v="DOT WIDE NECK M"/>
    <x v="3"/>
    <n v="21081"/>
    <n v="2624.00000000001"/>
    <n v="3258.737276419552"/>
    <n v="2735.5790921398511"/>
    <n v="4558"/>
    <n v="648"/>
    <n v="288"/>
    <n v="1095"/>
    <n v="516"/>
    <n v="576"/>
    <n v="12"/>
    <n v="65"/>
    <n v="6301"/>
    <n v="69.10054274911684"/>
    <n v="2368.825309389229"/>
    <n v="0"/>
    <n v="2000"/>
    <n v="2004"/>
    <n v="60.999106985016638"/>
    <n v="42246324"/>
    <n v="55316544.000000209"/>
    <n v="68697440.524200574"/>
    <n v="57668742.841400199"/>
    <n v="10877796"/>
    <n v="132831381"/>
    <n v="18973"/>
    <n v="38021892"/>
    <n v="49785152.000000186"/>
    <n v="61828022.345508158"/>
    <n v="51902142.115169398"/>
    <n v="9790068"/>
    <n v="119548873"/>
    <x v="1"/>
    <n v="2004"/>
    <n v="0"/>
    <n v="0"/>
    <n v="0"/>
  </r>
  <r>
    <n v="317"/>
    <x v="2"/>
    <s v="P12DWNXL"/>
    <s v="DOT WIDE NECK XL"/>
    <x v="3"/>
    <n v="21081"/>
    <n v="7568.3333333332794"/>
    <n v="8733.509569557842"/>
    <n v="7800.836523185947"/>
    <n v="4691"/>
    <n v="1932"/>
    <n v="924"/>
    <n v="601"/>
    <n v="1356"/>
    <n v="2100"/>
    <n v="12"/>
    <n v="65"/>
    <n v="7224"/>
    <n v="27.78163589967005"/>
    <n v="17055.322036460726"/>
    <n v="1067"/>
    <n v="5000"/>
    <n v="5004"/>
    <n v="18.653731876159732"/>
    <n v="105489324"/>
    <n v="159548034.99999887"/>
    <n v="184111115.23584887"/>
    <n v="164449434.74528295"/>
    <n v="28585836"/>
    <n v="152289144"/>
    <n v="18973"/>
    <n v="94940892"/>
    <n v="143593988.3333323"/>
    <n v="165700877.06322095"/>
    <n v="148005271.35440698"/>
    <n v="25727388"/>
    <n v="137060952"/>
    <x v="1"/>
    <n v="3937"/>
    <n v="0"/>
    <n v="0"/>
    <n v="0"/>
  </r>
  <r>
    <n v="318"/>
    <x v="2"/>
    <s v="P12FS403"/>
    <s v="ANIMAL SHAPE BOWL"/>
    <x v="2"/>
    <n v="24818"/>
    <n v="1"/>
    <n v="0"/>
    <n v="0"/>
    <n v="15"/>
    <n v="0"/>
    <n v="0"/>
    <n v="0"/>
    <n v="0"/>
    <n v="0"/>
    <n v="12"/>
    <n v="65"/>
    <n v="15"/>
    <n v="9999"/>
    <n v="0"/>
    <n v="0"/>
    <n v="0"/>
    <n v="0"/>
    <n v="9999"/>
    <n v="0"/>
    <n v="24818"/>
    <n v="0"/>
    <n v="0"/>
    <n v="0"/>
    <n v="372270"/>
    <n v="22336"/>
    <n v="0"/>
    <n v="22336"/>
    <n v="0"/>
    <n v="0"/>
    <n v="0"/>
    <n v="335040"/>
    <x v="2"/>
    <n v="0"/>
    <n v="0"/>
    <n v="0"/>
    <n v="0"/>
  </r>
  <r>
    <n v="319"/>
    <x v="2"/>
    <s v="P12FS405"/>
    <s v="SIPPER CUP WITH WEIGHTED STRAW"/>
    <x v="3"/>
    <n v="39459"/>
    <n v="21.000000000000014"/>
    <n v="0"/>
    <n v="15"/>
    <n v="86"/>
    <n v="0"/>
    <n v="0"/>
    <n v="1"/>
    <n v="0"/>
    <n v="0"/>
    <n v="12"/>
    <n v="65"/>
    <n v="87"/>
    <n v="174"/>
    <n v="0"/>
    <n v="0"/>
    <n v="0"/>
    <n v="0"/>
    <n v="174"/>
    <n v="0"/>
    <n v="828639.00000000058"/>
    <n v="0"/>
    <n v="591885"/>
    <n v="0"/>
    <n v="3432933"/>
    <n v="35513"/>
    <n v="0"/>
    <n v="745773.00000000047"/>
    <n v="0"/>
    <n v="532695"/>
    <n v="0"/>
    <n v="3089631"/>
    <x v="2"/>
    <n v="0"/>
    <n v="0"/>
    <n v="0"/>
    <n v="0"/>
  </r>
  <r>
    <n v="320"/>
    <x v="2"/>
    <s v="P12FS64B"/>
    <s v="SET MEAL BLUE"/>
    <x v="3"/>
    <n v="44595"/>
    <n v="30.000000000000071"/>
    <n v="0"/>
    <n v="20.666666666666668"/>
    <n v="19"/>
    <n v="0"/>
    <n v="0"/>
    <n v="0"/>
    <n v="0"/>
    <n v="48"/>
    <n v="24"/>
    <n v="65"/>
    <n v="19"/>
    <n v="27.58064516129032"/>
    <n v="25.777777777777779"/>
    <n v="48"/>
    <n v="0"/>
    <n v="0"/>
    <n v="27.58064516129032"/>
    <n v="0"/>
    <n v="1337850.0000000033"/>
    <n v="0"/>
    <n v="921630"/>
    <n v="0"/>
    <n v="847305"/>
    <n v="40135"/>
    <n v="0"/>
    <n v="1204050.0000000028"/>
    <n v="0"/>
    <n v="829456.66666666674"/>
    <n v="0"/>
    <n v="762565"/>
    <x v="2"/>
    <n v="-48"/>
    <n v="0"/>
    <n v="0"/>
    <n v="0"/>
  </r>
  <r>
    <n v="321"/>
    <x v="2"/>
    <s v="P12FS64P"/>
    <s v="SET MEAL PINK"/>
    <x v="3"/>
    <n v="44595"/>
    <n v="65.666666666666671"/>
    <n v="0"/>
    <n v="21.333333333333336"/>
    <n v="34"/>
    <n v="0"/>
    <n v="0"/>
    <n v="0"/>
    <n v="0"/>
    <n v="0"/>
    <n v="24"/>
    <n v="65"/>
    <n v="34"/>
    <n v="47.812499999999993"/>
    <n v="12.222222222222221"/>
    <n v="0"/>
    <n v="0"/>
    <n v="0"/>
    <n v="47.812499999999993"/>
    <n v="0"/>
    <n v="2928405"/>
    <n v="0"/>
    <n v="951360.00000000012"/>
    <n v="0"/>
    <n v="1516230"/>
    <n v="40135"/>
    <n v="0"/>
    <n v="2635531.666666667"/>
    <n v="0"/>
    <n v="856213.33333333337"/>
    <n v="0"/>
    <n v="1364590"/>
    <x v="2"/>
    <n v="0"/>
    <n v="0"/>
    <n v="0"/>
    <n v="0"/>
  </r>
  <r>
    <n v="322"/>
    <x v="2"/>
    <s v="P12HC01C"/>
    <s v="HIGH CHAIR JUNGLE HC01C"/>
    <x v="2"/>
    <n v="954545"/>
    <n v="0.33333333333332998"/>
    <n v="0"/>
    <n v="0.33333333333333331"/>
    <n v="12"/>
    <n v="0"/>
    <n v="0"/>
    <n v="0"/>
    <n v="0"/>
    <n v="0"/>
    <n v="1"/>
    <n v="65"/>
    <n v="12"/>
    <n v="1080"/>
    <n v="0"/>
    <n v="0"/>
    <n v="0"/>
    <n v="0"/>
    <n v="1080"/>
    <n v="0"/>
    <n v="318181.66666666348"/>
    <n v="0"/>
    <n v="318181.66666666663"/>
    <n v="0"/>
    <n v="11454540"/>
    <n v="859091"/>
    <n v="0"/>
    <n v="286363.66666666378"/>
    <n v="0"/>
    <n v="286363.66666666663"/>
    <n v="0"/>
    <n v="10309092"/>
    <x v="2"/>
    <n v="0"/>
    <n v="0"/>
    <n v="0"/>
    <n v="0"/>
  </r>
  <r>
    <n v="323"/>
    <x v="2"/>
    <s v="P12HT001"/>
    <s v="HAIR TRIMMER"/>
    <x v="3"/>
    <n v="125676"/>
    <n v="276.66666666666703"/>
    <n v="0"/>
    <n v="144.66666666666666"/>
    <n v="115"/>
    <n v="0"/>
    <n v="24"/>
    <n v="0"/>
    <n v="0"/>
    <n v="180"/>
    <n v="12"/>
    <n v="65"/>
    <n v="115"/>
    <n v="23.847926267281107"/>
    <n v="198.4444444444444"/>
    <n v="204"/>
    <n v="0"/>
    <n v="0"/>
    <n v="23.847926267281107"/>
    <n v="0"/>
    <n v="34770360.000000045"/>
    <n v="0"/>
    <n v="18181128"/>
    <n v="0"/>
    <n v="14452740"/>
    <n v="113108"/>
    <n v="0"/>
    <n v="31293213.333333373"/>
    <n v="0"/>
    <n v="16362957.333333332"/>
    <n v="0"/>
    <n v="13007420"/>
    <x v="2"/>
    <n v="-204"/>
    <n v="0"/>
    <n v="0"/>
    <n v="0"/>
  </r>
  <r>
    <n v="324"/>
    <x v="2"/>
    <s v="P12JP002"/>
    <s v="BOTTLE 125 ML JP 002"/>
    <x v="3"/>
    <n v="19909"/>
    <n v="5.9999999999999698"/>
    <n v="0"/>
    <n v="4.333333333333333"/>
    <n v="34"/>
    <n v="0"/>
    <n v="0"/>
    <n v="0"/>
    <n v="0"/>
    <n v="0"/>
    <n v="12"/>
    <n v="65"/>
    <n v="34"/>
    <n v="235.38461538461542"/>
    <n v="0"/>
    <n v="0"/>
    <n v="0"/>
    <n v="0"/>
    <n v="235.38461538461542"/>
    <n v="0"/>
    <n v="119453.9999999994"/>
    <n v="0"/>
    <n v="86272.333333333328"/>
    <n v="0"/>
    <n v="676906"/>
    <n v="17918"/>
    <n v="0"/>
    <n v="107507.99999999946"/>
    <n v="0"/>
    <n v="77644.666666666657"/>
    <n v="0"/>
    <n v="609212"/>
    <x v="2"/>
    <n v="0"/>
    <n v="0"/>
    <n v="0"/>
    <n v="0"/>
  </r>
  <r>
    <n v="325"/>
    <x v="2"/>
    <s v="P12JP003"/>
    <s v="BOTTLE 250 ML JP 003"/>
    <x v="3"/>
    <n v="21818"/>
    <n v="-1.9999999999999702"/>
    <n v="0"/>
    <n v="2.3333333333333335"/>
    <n v="16"/>
    <n v="0"/>
    <n v="0"/>
    <n v="0"/>
    <n v="0"/>
    <n v="0"/>
    <n v="12"/>
    <n v="65"/>
    <n v="16"/>
    <n v="205.71428571428569"/>
    <n v="0"/>
    <n v="0"/>
    <n v="0"/>
    <n v="0"/>
    <n v="205.71428571428569"/>
    <n v="0"/>
    <n v="-43635.999999999352"/>
    <n v="0"/>
    <n v="50908.666666666672"/>
    <n v="0"/>
    <n v="349088"/>
    <n v="19636"/>
    <n v="0"/>
    <n v="-39271.999999999418"/>
    <n v="0"/>
    <n v="45817.333333333336"/>
    <n v="0"/>
    <n v="314176"/>
    <x v="2"/>
    <n v="0"/>
    <n v="0"/>
    <n v="0"/>
    <n v="0"/>
  </r>
  <r>
    <n v="326"/>
    <x v="2"/>
    <s v="P12JP005"/>
    <s v="BOTTLE HANDLE JP005"/>
    <x v="3"/>
    <n v="26054"/>
    <n v="4.6666666666666998"/>
    <n v="0"/>
    <n v="2.666666666666667"/>
    <n v="34"/>
    <n v="0"/>
    <n v="0"/>
    <n v="0"/>
    <n v="0"/>
    <n v="0"/>
    <n v="12"/>
    <n v="65"/>
    <n v="34"/>
    <n v="382.49999999999994"/>
    <n v="0"/>
    <n v="0"/>
    <n v="0"/>
    <n v="0"/>
    <n v="382.49999999999994"/>
    <n v="0"/>
    <n v="121585.3333333342"/>
    <n v="0"/>
    <n v="69477.333333333343"/>
    <n v="0"/>
    <n v="885836"/>
    <n v="23448"/>
    <n v="0"/>
    <n v="109424.00000000077"/>
    <n v="0"/>
    <n v="62528.000000000007"/>
    <n v="0"/>
    <n v="797232"/>
    <x v="2"/>
    <n v="0"/>
    <n v="0"/>
    <n v="0"/>
    <n v="0"/>
  </r>
  <r>
    <n v="327"/>
    <x v="2"/>
    <s v="P12JP019"/>
    <s v="CUP WEIGHTED STRAW"/>
    <x v="3"/>
    <n v="38486"/>
    <n v="821.33333333333189"/>
    <n v="0"/>
    <n v="414.33333333333331"/>
    <n v="104"/>
    <n v="0"/>
    <n v="0"/>
    <n v="0"/>
    <n v="0"/>
    <n v="408"/>
    <n v="12"/>
    <n v="65"/>
    <n v="104"/>
    <n v="7.5301689460981498"/>
    <n v="793.72222222222217"/>
    <n v="408"/>
    <n v="0"/>
    <n v="0"/>
    <n v="7.5301689460981498"/>
    <n v="0"/>
    <n v="31609834.666666612"/>
    <n v="0"/>
    <n v="15946032.666666666"/>
    <n v="0"/>
    <n v="4002544"/>
    <n v="34638"/>
    <n v="0"/>
    <n v="28449343.999999952"/>
    <n v="0"/>
    <n v="14351678"/>
    <n v="0"/>
    <n v="3602352"/>
    <x v="2"/>
    <n v="-408"/>
    <n v="0"/>
    <n v="0"/>
    <n v="0"/>
  </r>
  <r>
    <n v="328"/>
    <x v="2"/>
    <s v="P12JP020"/>
    <s v="STRAW CUP 300ML"/>
    <x v="3"/>
    <n v="40636"/>
    <n v="342.33333333333434"/>
    <n v="417.38463247505661"/>
    <n v="355.79487749168555"/>
    <n v="854"/>
    <n v="60"/>
    <n v="24"/>
    <n v="14"/>
    <n v="84"/>
    <n v="120"/>
    <n v="12"/>
    <n v="65"/>
    <n v="928"/>
    <n v="78.247332272653594"/>
    <n v="176.27353370704191"/>
    <n v="46"/>
    <n v="176.27353370704191"/>
    <n v="180"/>
    <n v="65.314209101538708"/>
    <n v="7314480"/>
    <n v="13911057.333333375"/>
    <n v="16960841.925256401"/>
    <n v="14458080.641752135"/>
    <n v="3413424"/>
    <n v="37710208"/>
    <n v="36572"/>
    <n v="6582960"/>
    <n v="12519814.666666703"/>
    <n v="15264590.778877771"/>
    <n v="13012130.259625925"/>
    <n v="3072048"/>
    <n v="33938816"/>
    <x v="1"/>
    <n v="134"/>
    <n v="0"/>
    <n v="22"/>
    <n v="22"/>
  </r>
  <r>
    <n v="329"/>
    <x v="2"/>
    <s v="P12JP029"/>
    <s v="BOTTLE SPOON JP029"/>
    <x v="1"/>
    <n v="33243"/>
    <n v="2.6666666666666399"/>
    <n v="6.4905535431445998"/>
    <n v="5.163517847714866"/>
    <n v="42"/>
    <n v="0"/>
    <n v="0"/>
    <n v="24"/>
    <n v="0"/>
    <n v="0"/>
    <n v="12"/>
    <n v="65"/>
    <n v="66"/>
    <n v="383.45950539829283"/>
    <n v="0"/>
    <n v="0"/>
    <n v="0"/>
    <n v="0"/>
    <n v="345.74943795260549"/>
    <n v="0"/>
    <n v="88647.999999999112"/>
    <n v="215765.47143475592"/>
    <n v="171650.82381158529"/>
    <n v="0"/>
    <n v="2194038"/>
    <n v="29919"/>
    <n v="0"/>
    <n v="79783.9999999992"/>
    <n v="194190.87145734328"/>
    <n v="154487.29048578106"/>
    <n v="0"/>
    <n v="1974654"/>
    <x v="1"/>
    <n v="0"/>
    <n v="0"/>
    <n v="0"/>
    <n v="0"/>
  </r>
  <r>
    <n v="330"/>
    <x v="2"/>
    <s v="P12JS001"/>
    <s v="EMBOSSED LID BOTTLE 125ML"/>
    <x v="3"/>
    <n v="15946"/>
    <n v="777.66666666666367"/>
    <n v="986.10787465884164"/>
    <n v="785.36929155294729"/>
    <n v="1912"/>
    <n v="156"/>
    <n v="60"/>
    <n v="135"/>
    <n v="168"/>
    <n v="60"/>
    <n v="12"/>
    <n v="65"/>
    <n v="2203"/>
    <n v="84.151494985648299"/>
    <n v="316.74133969022751"/>
    <n v="0"/>
    <n v="316.74133969022751"/>
    <n v="312"/>
    <n v="64.818887506505931"/>
    <n v="4975152"/>
    <n v="12400672.666666619"/>
    <n v="15724476.169309888"/>
    <n v="12523498.723103298"/>
    <n v="2678928"/>
    <n v="35129038"/>
    <n v="14351"/>
    <n v="4477512"/>
    <n v="11160294.333333291"/>
    <n v="14151634.109229036"/>
    <n v="11270834.703076346"/>
    <n v="2410968"/>
    <n v="31615253"/>
    <x v="1"/>
    <n v="312"/>
    <n v="0"/>
    <n v="0"/>
    <n v="0"/>
  </r>
  <r>
    <n v="331"/>
    <x v="2"/>
    <s v="P12JS002"/>
    <s v="EMBOSSED LID BOTTLE 250ML"/>
    <x v="3"/>
    <n v="16757"/>
    <n v="1069.6666666666661"/>
    <n v="1221.5165074564056"/>
    <n v="1038.1721691521352"/>
    <n v="2056"/>
    <n v="240"/>
    <n v="72"/>
    <n v="223"/>
    <n v="204"/>
    <n v="324"/>
    <n v="12"/>
    <n v="65"/>
    <n v="2519"/>
    <n v="72.791394573519781"/>
    <n v="747.88954061936511"/>
    <n v="0"/>
    <n v="747.88954061936511"/>
    <n v="744"/>
    <n v="64.887604173904748"/>
    <n v="12467208"/>
    <n v="17924404.333333325"/>
    <n v="20468952.115446988"/>
    <n v="17396651.038482331"/>
    <n v="3418428"/>
    <n v="42210883"/>
    <n v="15081"/>
    <n v="11220264"/>
    <n v="16131642.999999991"/>
    <n v="18421690.448950052"/>
    <n v="15656674.482983351"/>
    <n v="3076524"/>
    <n v="37989039"/>
    <x v="1"/>
    <n v="744"/>
    <n v="0"/>
    <n v="0"/>
    <n v="0"/>
  </r>
  <r>
    <n v="332"/>
    <x v="2"/>
    <s v="P12L9128"/>
    <s v="C.B PLASTIC L REF. 100 - 9128"/>
    <x v="3"/>
    <n v="4973"/>
    <n v="4101.3333333333285"/>
    <n v="0"/>
    <n v="2321.3333333333339"/>
    <n v="2462"/>
    <n v="0"/>
    <n v="0"/>
    <n v="0"/>
    <n v="0"/>
    <n v="2112"/>
    <n v="120"/>
    <n v="65"/>
    <n v="2462"/>
    <n v="31.81792073520964"/>
    <n v="2567.5555555555566"/>
    <n v="2112"/>
    <n v="0"/>
    <n v="0"/>
    <n v="31.81792073520964"/>
    <n v="0"/>
    <n v="20395930.666666642"/>
    <n v="0"/>
    <n v="11543990.66666667"/>
    <n v="0"/>
    <n v="12243526"/>
    <n v="4476"/>
    <n v="0"/>
    <n v="18357567.999999978"/>
    <n v="0"/>
    <n v="10390288.000000002"/>
    <n v="0"/>
    <n v="11019912"/>
    <x v="2"/>
    <n v="-2112"/>
    <n v="0"/>
    <n v="0"/>
    <n v="0"/>
  </r>
  <r>
    <n v="333"/>
    <x v="2"/>
    <s v="P12L9130"/>
    <s v="C.B PLASTIK L POT 100  CB 9130"/>
    <x v="3"/>
    <n v="10757"/>
    <n v="717.66666666666663"/>
    <n v="0"/>
    <n v="405.66666666666669"/>
    <n v="845"/>
    <n v="0"/>
    <n v="0"/>
    <n v="0"/>
    <n v="0"/>
    <n v="312"/>
    <n v="240"/>
    <n v="65"/>
    <n v="845"/>
    <n v="62.489728841413317"/>
    <n v="33.944444444444457"/>
    <n v="312"/>
    <n v="0"/>
    <n v="0"/>
    <n v="62.489728841413317"/>
    <n v="0"/>
    <n v="7719940.333333333"/>
    <n v="0"/>
    <n v="4363756.333333334"/>
    <n v="0"/>
    <n v="9089665"/>
    <n v="9681"/>
    <n v="0"/>
    <n v="6947731"/>
    <n v="0"/>
    <n v="3927259"/>
    <n v="0"/>
    <n v="8180445"/>
    <x v="2"/>
    <n v="-312"/>
    <n v="0"/>
    <n v="0"/>
    <n v="0"/>
  </r>
  <r>
    <n v="334"/>
    <x v="2"/>
    <s v="P12L9131"/>
    <s v="C.B PLASTIC S REF. 100 - 9131"/>
    <x v="3"/>
    <n v="4486"/>
    <n v="8838.3333333333285"/>
    <n v="0"/>
    <n v="5449.6666666666679"/>
    <n v="2827"/>
    <n v="3"/>
    <n v="0"/>
    <n v="0"/>
    <n v="0"/>
    <n v="5478"/>
    <n v="216"/>
    <n v="65"/>
    <n v="2830"/>
    <n v="15.5789344914062"/>
    <n v="8977.6111111111131"/>
    <n v="5478"/>
    <n v="0"/>
    <n v="0"/>
    <n v="15.5789344914062"/>
    <n v="0"/>
    <n v="39648763.333333313"/>
    <n v="0"/>
    <n v="24447204.666666672"/>
    <n v="0"/>
    <n v="12695380"/>
    <n v="4038"/>
    <n v="0"/>
    <n v="35689189.999999978"/>
    <n v="0"/>
    <n v="22005754.000000004"/>
    <n v="0"/>
    <n v="11427540"/>
    <x v="2"/>
    <n v="-5478"/>
    <n v="0"/>
    <n v="0"/>
    <n v="0"/>
  </r>
  <r>
    <n v="335"/>
    <x v="2"/>
    <s v="P12L9132"/>
    <s v="C.B PLASTIK S POT 100  CB 9132"/>
    <x v="3"/>
    <n v="9297"/>
    <n v="1944.0000000000009"/>
    <n v="0"/>
    <n v="1198.6666666666667"/>
    <n v="1201"/>
    <n v="2"/>
    <n v="0"/>
    <n v="0"/>
    <n v="0"/>
    <n v="1632"/>
    <n v="240"/>
    <n v="65"/>
    <n v="1203"/>
    <n v="30.108453837597331"/>
    <n v="1394.1111111111113"/>
    <n v="1632"/>
    <n v="0"/>
    <n v="0"/>
    <n v="30.108453837597331"/>
    <n v="0"/>
    <n v="18073368.000000007"/>
    <n v="0"/>
    <n v="11144004"/>
    <n v="0"/>
    <n v="11184291"/>
    <n v="8368"/>
    <n v="0"/>
    <n v="16267392.000000007"/>
    <n v="0"/>
    <n v="10030442.666666668"/>
    <n v="0"/>
    <n v="10066704"/>
    <x v="2"/>
    <n v="-1632"/>
    <n v="0"/>
    <n v="0"/>
    <n v="0"/>
  </r>
  <r>
    <n v="336"/>
    <x v="2"/>
    <s v="P12L9134"/>
    <s v="C.B PLASTIK S POT 50   CB 9134"/>
    <x v="3"/>
    <n v="5703"/>
    <n v="1104.0000000000048"/>
    <n v="0"/>
    <n v="547.66666666666652"/>
    <n v="477"/>
    <n v="0"/>
    <n v="0"/>
    <n v="0"/>
    <n v="0"/>
    <n v="480"/>
    <n v="480"/>
    <n v="65"/>
    <n v="477"/>
    <n v="26.129032258064523"/>
    <n v="709.61111111111063"/>
    <n v="480"/>
    <n v="0"/>
    <n v="0"/>
    <n v="26.129032258064523"/>
    <n v="0"/>
    <n v="6296112.000000027"/>
    <n v="0"/>
    <n v="3123342.9999999991"/>
    <n v="0"/>
    <n v="2720331"/>
    <n v="5132"/>
    <n v="0"/>
    <n v="5665728.0000000242"/>
    <n v="0"/>
    <n v="2810625.3333333326"/>
    <n v="0"/>
    <n v="2447964"/>
    <x v="2"/>
    <n v="-480"/>
    <n v="0"/>
    <n v="0"/>
    <n v="0"/>
  </r>
  <r>
    <n v="337"/>
    <x v="2"/>
    <s v="P12L9135"/>
    <s v="C.B PLASTIC L REF. 50 - 9135"/>
    <x v="3"/>
    <n v="2757"/>
    <n v="2794.6666666666638"/>
    <n v="0"/>
    <n v="1490.3333333333335"/>
    <n v="657"/>
    <n v="0"/>
    <n v="0"/>
    <n v="0"/>
    <n v="0"/>
    <n v="2004"/>
    <n v="216"/>
    <n v="65"/>
    <n v="657"/>
    <n v="13.225229255200178"/>
    <n v="2572.0555555555557"/>
    <n v="2004"/>
    <n v="0"/>
    <n v="0"/>
    <n v="13.225229255200178"/>
    <n v="0"/>
    <n v="7704895.9999999916"/>
    <n v="0"/>
    <n v="4108849.0000000005"/>
    <n v="0"/>
    <n v="1811349"/>
    <n v="2481"/>
    <n v="0"/>
    <n v="6933567.9999999925"/>
    <n v="0"/>
    <n v="3697517.0000000005"/>
    <n v="0"/>
    <n v="1630017"/>
    <x v="2"/>
    <n v="-2004"/>
    <n v="0"/>
    <n v="0"/>
    <n v="0"/>
  </r>
  <r>
    <n v="338"/>
    <x v="2"/>
    <s v="P12L9136"/>
    <s v="C.B PLASTIC S REF. 50 - 9136"/>
    <x v="3"/>
    <n v="2514"/>
    <n v="6762.6666666666852"/>
    <n v="0"/>
    <n v="3952"/>
    <n v="1388"/>
    <n v="0"/>
    <n v="0"/>
    <n v="0"/>
    <n v="0"/>
    <n v="5136"/>
    <n v="384"/>
    <n v="65"/>
    <n v="1388"/>
    <n v="10.536437246963564"/>
    <n v="7174.6666666666661"/>
    <n v="5136"/>
    <n v="0"/>
    <n v="0"/>
    <n v="10.536437246963564"/>
    <n v="0"/>
    <n v="17001344.000000045"/>
    <n v="0"/>
    <n v="9935328"/>
    <n v="0"/>
    <n v="3489432"/>
    <n v="2262"/>
    <n v="0"/>
    <n v="15297152.000000041"/>
    <n v="0"/>
    <n v="8939424"/>
    <n v="0"/>
    <n v="3139656"/>
    <x v="2"/>
    <n v="-5136"/>
    <n v="0"/>
    <n v="0"/>
    <n v="0"/>
  </r>
  <r>
    <n v="339"/>
    <x v="2"/>
    <s v="P12LB007"/>
    <s v="SLOW COOKER DIGITAL LB007"/>
    <x v="3"/>
    <n v="227027"/>
    <n v="669.00000000000091"/>
    <n v="610.00553692314622"/>
    <n v="703.33517897438196"/>
    <n v="764"/>
    <n v="158"/>
    <n v="78"/>
    <n v="73"/>
    <n v="132"/>
    <n v="234"/>
    <n v="6"/>
    <n v="65"/>
    <n v="995"/>
    <n v="42.440646923886121"/>
    <n v="1006.8984247009739"/>
    <n v="107"/>
    <n v="600"/>
    <n v="600"/>
    <n v="47.644188566211561"/>
    <n v="136216200"/>
    <n v="151881063.00000021"/>
    <n v="138487727.03105113"/>
    <n v="159676075.677017"/>
    <n v="29967564"/>
    <n v="225891865"/>
    <n v="204324"/>
    <n v="122594400"/>
    <n v="136692756.00000018"/>
    <n v="124638771.32628493"/>
    <n v="143708257.10876161"/>
    <n v="26970768"/>
    <n v="203302380"/>
    <x v="1"/>
    <n v="493"/>
    <n v="0"/>
    <n v="5"/>
    <n v="47"/>
  </r>
  <r>
    <n v="340"/>
    <x v="2"/>
    <s v="P12LB009"/>
    <s v="SLOW COOKER LIGHT INDICATOR LB009"/>
    <x v="3"/>
    <n v="165946"/>
    <n v="504.33333333333366"/>
    <n v="558.05000499015387"/>
    <n v="442.68333499671792"/>
    <n v="795"/>
    <n v="102"/>
    <n v="30"/>
    <n v="314"/>
    <n v="72"/>
    <n v="90"/>
    <n v="6"/>
    <n v="65"/>
    <n v="1211"/>
    <n v="82.067692926071743"/>
    <n v="234.19723081637585"/>
    <n v="0"/>
    <n v="234.19723081637585"/>
    <n v="234"/>
    <n v="64.986633956999256"/>
    <n v="38831364"/>
    <n v="83692099.333333388"/>
    <n v="92606166.128096074"/>
    <n v="73461528.709365353"/>
    <n v="11948112"/>
    <n v="200960606"/>
    <n v="149351"/>
    <n v="34948134"/>
    <n v="75322687.666666716"/>
    <n v="83345326.295284465"/>
    <n v="66115198.765094817"/>
    <n v="10753272"/>
    <n v="180864061"/>
    <x v="1"/>
    <n v="234"/>
    <n v="0"/>
    <n v="0"/>
    <n v="0"/>
  </r>
  <r>
    <n v="341"/>
    <x v="2"/>
    <s v="P12LB012"/>
    <s v="FOOD MAKER 6IN1"/>
    <x v="2"/>
    <n v="600000"/>
    <n v="3.3333333333333699"/>
    <n v="0"/>
    <n v="3.333333333333333"/>
    <n v="1062"/>
    <n v="0"/>
    <n v="0"/>
    <n v="0"/>
    <n v="0"/>
    <n v="0"/>
    <n v="4"/>
    <n v="65"/>
    <n v="1062"/>
    <n v="9558"/>
    <n v="0"/>
    <n v="0"/>
    <n v="0"/>
    <n v="0"/>
    <n v="9558"/>
    <n v="0"/>
    <n v="2000000.0000000219"/>
    <n v="0"/>
    <n v="1999999.9999999998"/>
    <n v="0"/>
    <n v="637200000"/>
    <n v="540000"/>
    <n v="0"/>
    <n v="1800000.0000000198"/>
    <n v="0"/>
    <n v="1799999.9999999998"/>
    <n v="0"/>
    <n v="573480000"/>
    <x v="2"/>
    <n v="0"/>
    <n v="0"/>
    <n v="0"/>
    <n v="0"/>
  </r>
  <r>
    <n v="342"/>
    <x v="2"/>
    <s v="P12LB07M"/>
    <s v="SLOW COOKER 1.2L"/>
    <x v="3"/>
    <n v="239297"/>
    <n v="6.99999999999996"/>
    <n v="0"/>
    <n v="2.9999999999999996"/>
    <n v="25"/>
    <n v="0"/>
    <n v="0"/>
    <n v="0"/>
    <n v="0"/>
    <n v="0"/>
    <n v="6"/>
    <n v="65"/>
    <n v="25"/>
    <n v="250.00000000000003"/>
    <n v="0"/>
    <n v="0"/>
    <n v="0"/>
    <n v="0"/>
    <n v="250.00000000000003"/>
    <n v="0"/>
    <n v="1675078.9999999905"/>
    <n v="0"/>
    <n v="717890.99999999988"/>
    <n v="0"/>
    <n v="5982425"/>
    <n v="215367"/>
    <n v="0"/>
    <n v="1507568.9999999914"/>
    <n v="0"/>
    <n v="646100.99999999988"/>
    <n v="0"/>
    <n v="5384175"/>
    <x v="2"/>
    <n v="0"/>
    <n v="0"/>
    <n v="0"/>
    <n v="0"/>
  </r>
  <r>
    <n v="343"/>
    <x v="2"/>
    <s v="P12MC001"/>
    <s v="MILK COMPARTMENT SMALL"/>
    <x v="3"/>
    <n v="26216"/>
    <n v="895.99999999999977"/>
    <n v="1043.5549489269274"/>
    <n v="1006.8516496423091"/>
    <n v="1458"/>
    <n v="144"/>
    <n v="120"/>
    <n v="52"/>
    <n v="432"/>
    <n v="648"/>
    <n v="24"/>
    <n v="65"/>
    <n v="1654"/>
    <n v="49.282334709018798"/>
    <n v="1139.0668564852635"/>
    <n v="284"/>
    <n v="1139.0668564852635"/>
    <n v="1128"/>
    <n v="64.670253612162369"/>
    <n v="29571648"/>
    <n v="23489535.999999993"/>
    <n v="27357836.54106833"/>
    <n v="26395622.847022776"/>
    <n v="11325312"/>
    <n v="43361264"/>
    <n v="23595"/>
    <n v="26615160"/>
    <n v="21141119.999999996"/>
    <n v="24622679.019930851"/>
    <n v="23756664.673310284"/>
    <n v="10193040"/>
    <n v="39026130"/>
    <x v="1"/>
    <n v="844"/>
    <n v="20"/>
    <n v="140"/>
    <n v="284"/>
  </r>
  <r>
    <n v="344"/>
    <x v="2"/>
    <s v="P12MC002"/>
    <s v="MILK COMPARTMENT LARGE"/>
    <x v="3"/>
    <n v="32811"/>
    <n v="2081.3333333333358"/>
    <n v="2343.2666746146328"/>
    <n v="2246.7555582048776"/>
    <n v="2015"/>
    <n v="649"/>
    <n v="336"/>
    <n v="0"/>
    <n v="384"/>
    <n v="744"/>
    <n v="24"/>
    <n v="65"/>
    <n v="2664"/>
    <n v="35.571292884151056"/>
    <n v="4163.2370507251999"/>
    <n v="696"/>
    <n v="3000"/>
    <n v="3000"/>
    <n v="49.467775591200372"/>
    <n v="98433000"/>
    <n v="68290628.000000075"/>
    <n v="76884922.860780716"/>
    <n v="73718296.620260239"/>
    <n v="12599424"/>
    <n v="87408504"/>
    <n v="29530"/>
    <n v="88590000"/>
    <n v="61461773.333333403"/>
    <n v="69196664.901370108"/>
    <n v="66346691.633790039"/>
    <n v="11339520"/>
    <n v="78667920"/>
    <x v="1"/>
    <n v="2304"/>
    <n v="0"/>
    <n v="0"/>
    <n v="124"/>
  </r>
  <r>
    <n v="345"/>
    <x v="2"/>
    <s v="P12MC003"/>
    <s v="PREMIUM MILK CONTAINER"/>
    <x v="3"/>
    <n v="65135"/>
    <n v="645.33333333333121"/>
    <n v="730.27406798205016"/>
    <n v="684.75802266068342"/>
    <n v="745"/>
    <n v="9"/>
    <n v="96"/>
    <n v="0"/>
    <n v="576"/>
    <n v="720"/>
    <n v="24"/>
    <n v="65"/>
    <n v="754"/>
    <n v="33.033566970282635"/>
    <n v="883.91645041353058"/>
    <n v="240"/>
    <n v="883.91645041353058"/>
    <n v="888"/>
    <n v="65.178904786128783"/>
    <n v="57839880"/>
    <n v="42033786.66666653"/>
    <n v="47566401.418010838"/>
    <n v="44601713.806003615"/>
    <n v="37517760"/>
    <n v="49111790"/>
    <n v="58622"/>
    <n v="52056336"/>
    <n v="37830730.666666545"/>
    <n v="42810126.413243741"/>
    <n v="40141884.804414585"/>
    <n v="33766272"/>
    <n v="44200988"/>
    <x v="1"/>
    <n v="648"/>
    <n v="0"/>
    <n v="0"/>
    <n v="0"/>
  </r>
  <r>
    <n v="346"/>
    <x v="2"/>
    <s v="P12NAS01"/>
    <s v="SILICONE NASAL ASPIRATOR"/>
    <x v="3"/>
    <n v="23243"/>
    <n v="2265.999999999995"/>
    <n v="2685.4888430524329"/>
    <n v="2471.8296143508105"/>
    <n v="3055"/>
    <n v="180"/>
    <n v="312"/>
    <n v="41"/>
    <n v="2211"/>
    <n v="1368"/>
    <n v="12"/>
    <n v="65"/>
    <n v="3276"/>
    <n v="39.760022061962303"/>
    <n v="2554.1196741458552"/>
    <n v="0"/>
    <n v="2554.1196741458552"/>
    <n v="2556"/>
    <n v="65.022821061490973"/>
    <n v="59409108"/>
    <n v="52668637.999999881"/>
    <n v="62418817.179067701"/>
    <n v="57452735.726355888"/>
    <n v="51390273"/>
    <n v="76144068"/>
    <n v="20919"/>
    <n v="53468964"/>
    <n v="47402453.999999896"/>
    <n v="56177741.107813843"/>
    <n v="51708203.702604607"/>
    <n v="46251909"/>
    <n v="68530644"/>
    <x v="1"/>
    <n v="2556"/>
    <n v="0"/>
    <n v="0"/>
    <n v="0"/>
  </r>
  <r>
    <n v="347"/>
    <x v="2"/>
    <s v="P12NAS02"/>
    <s v="ASPIRATOR WITH PIPE"/>
    <x v="3"/>
    <n v="24865"/>
    <n v="4023.6666666666561"/>
    <n v="4379.3421458763169"/>
    <n v="4300.447381958772"/>
    <n v="5166"/>
    <n v="768"/>
    <n v="624"/>
    <n v="1074"/>
    <n v="983"/>
    <n v="1800"/>
    <n v="12"/>
    <n v="65"/>
    <n v="7008"/>
    <n v="48.887936841640808"/>
    <n v="5705.9781401203218"/>
    <n v="367"/>
    <n v="4000"/>
    <n v="3996"/>
    <n v="53.071161056679692"/>
    <n v="99360540"/>
    <n v="100048471.6666664"/>
    <n v="108892342.45721462"/>
    <n v="106930624.15240486"/>
    <n v="24442295"/>
    <n v="174253920"/>
    <n v="22378"/>
    <n v="89422488"/>
    <n v="90041612.666666433"/>
    <n v="98000918.540420219"/>
    <n v="96235411.513473406"/>
    <n v="21997574"/>
    <n v="156825024"/>
    <x v="1"/>
    <n v="3629"/>
    <n v="0"/>
    <n v="0"/>
    <n v="0"/>
  </r>
  <r>
    <n v="348"/>
    <x v="2"/>
    <s v="P12S501O"/>
    <s v="SUNNY BABY STROLLER ORANGE"/>
    <x v="2"/>
    <n v="572727"/>
    <n v="0"/>
    <n v="0"/>
    <n v="0"/>
    <n v="13"/>
    <n v="0"/>
    <n v="0"/>
    <n v="0"/>
    <n v="0"/>
    <n v="0"/>
    <n v="1"/>
    <n v="65"/>
    <n v="13"/>
    <n v="9999"/>
    <n v="0"/>
    <n v="0"/>
    <n v="0"/>
    <n v="0"/>
    <n v="9999"/>
    <n v="0"/>
    <n v="0"/>
    <n v="0"/>
    <n v="0"/>
    <n v="0"/>
    <n v="7445451"/>
    <n v="515455"/>
    <n v="0"/>
    <n v="0"/>
    <n v="0"/>
    <n v="0"/>
    <n v="0"/>
    <n v="6700915"/>
    <x v="2"/>
    <n v="0"/>
    <n v="0"/>
    <n v="0"/>
    <n v="0"/>
  </r>
  <r>
    <n v="349"/>
    <x v="2"/>
    <s v="P12SC02G"/>
    <s v="SILICONE CONTAINER 540ML GREEN"/>
    <x v="1"/>
    <n v="58363"/>
    <n v="7.3333333333333304"/>
    <n v="23.299007011011103"/>
    <n v="14.4330023370037"/>
    <n v="147"/>
    <n v="18"/>
    <n v="0"/>
    <n v="18"/>
    <n v="0"/>
    <n v="18"/>
    <n v="18"/>
    <n v="65"/>
    <n v="183"/>
    <n v="380.37823813861633"/>
    <n v="0"/>
    <n v="0"/>
    <n v="0"/>
    <n v="0"/>
    <n v="331.94963028491321"/>
    <n v="0"/>
    <n v="427995.33333333314"/>
    <n v="1359799.946183641"/>
    <n v="842353.31539454695"/>
    <n v="0"/>
    <n v="10680429"/>
    <n v="52527"/>
    <n v="0"/>
    <n v="385197.99999999983"/>
    <n v="1223826.9412673803"/>
    <n v="758122.31375579338"/>
    <n v="0"/>
    <n v="9612441"/>
    <x v="1"/>
    <n v="0"/>
    <n v="0"/>
    <n v="0"/>
    <n v="0"/>
  </r>
  <r>
    <n v="350"/>
    <x v="2"/>
    <s v="P12SC02O"/>
    <s v="SILICONE CONTAINER 540ML ORANGE"/>
    <x v="1"/>
    <n v="58363"/>
    <n v="4.6666666666666297"/>
    <n v="12.9666511289429"/>
    <n v="8.9888837096476344"/>
    <n v="164"/>
    <n v="0"/>
    <n v="0"/>
    <n v="67"/>
    <n v="0"/>
    <n v="18"/>
    <n v="18"/>
    <n v="65"/>
    <n v="231"/>
    <n v="770.95223654547169"/>
    <n v="0"/>
    <n v="0"/>
    <n v="0"/>
    <n v="0"/>
    <n v="727.67661451792458"/>
    <n v="0"/>
    <n v="272360.66666666453"/>
    <n v="756772.6598384945"/>
    <n v="524618.21994616487"/>
    <n v="0"/>
    <n v="13481853"/>
    <n v="52527"/>
    <n v="0"/>
    <n v="245125.99999999805"/>
    <n v="681099.28384998371"/>
    <n v="472159.09461666131"/>
    <n v="0"/>
    <n v="12133737"/>
    <x v="1"/>
    <n v="0"/>
    <n v="0"/>
    <n v="0"/>
    <n v="0"/>
  </r>
  <r>
    <n v="351"/>
    <x v="2"/>
    <s v="P12SC03G"/>
    <s v="SILICONE CONTAINER 350ML GREEN"/>
    <x v="1"/>
    <n v="47454"/>
    <n v="2.3333333333333401"/>
    <n v="0"/>
    <n v="2.333333333333333"/>
    <n v="172"/>
    <n v="0"/>
    <n v="0"/>
    <n v="0"/>
    <n v="0"/>
    <n v="0"/>
    <n v="24"/>
    <n v="65"/>
    <n v="172"/>
    <n v="2211.4285714285716"/>
    <n v="0"/>
    <n v="0"/>
    <n v="0"/>
    <n v="0"/>
    <n v="2211.4285714285716"/>
    <n v="0"/>
    <n v="110726.00000000032"/>
    <n v="0"/>
    <n v="110725.99999999999"/>
    <n v="0"/>
    <n v="8162088"/>
    <n v="42709"/>
    <n v="0"/>
    <n v="99654.33333333362"/>
    <n v="0"/>
    <n v="99654.333333333314"/>
    <n v="0"/>
    <n v="7345948"/>
    <x v="2"/>
    <n v="0"/>
    <n v="0"/>
    <n v="0"/>
    <n v="0"/>
  </r>
  <r>
    <n v="352"/>
    <x v="2"/>
    <s v="P12SC03O"/>
    <s v="SILICONE CONTAINER 350ML ORANGE"/>
    <x v="1"/>
    <n v="47454"/>
    <n v="0.66666666666666996"/>
    <n v="0"/>
    <n v="0.66666666666666663"/>
    <n v="40"/>
    <n v="0"/>
    <n v="0"/>
    <n v="121"/>
    <n v="0"/>
    <n v="0"/>
    <n v="24"/>
    <n v="65"/>
    <n v="161"/>
    <n v="7245"/>
    <n v="0"/>
    <n v="0"/>
    <n v="0"/>
    <n v="0"/>
    <n v="7245"/>
    <n v="0"/>
    <n v="31636.000000000156"/>
    <n v="0"/>
    <n v="31636"/>
    <n v="0"/>
    <n v="7640094"/>
    <n v="42709"/>
    <n v="0"/>
    <n v="28472.666666666806"/>
    <n v="0"/>
    <n v="28472.666666666664"/>
    <n v="0"/>
    <n v="6876149"/>
    <x v="2"/>
    <n v="0"/>
    <n v="0"/>
    <n v="0"/>
    <n v="0"/>
  </r>
  <r>
    <n v="353"/>
    <x v="2"/>
    <s v="P12SC04T"/>
    <s v="SILICONE CONTAINER 600ML TOSCA"/>
    <x v="1"/>
    <n v="58636"/>
    <n v="6.3333333333332398"/>
    <n v="0"/>
    <n v="6.333333333333333"/>
    <n v="140"/>
    <n v="0"/>
    <n v="0"/>
    <n v="40"/>
    <n v="0"/>
    <n v="0"/>
    <n v="16"/>
    <n v="65"/>
    <n v="180"/>
    <n v="852.63157894736844"/>
    <n v="0"/>
    <n v="0"/>
    <n v="0"/>
    <n v="0"/>
    <n v="852.63157894736844"/>
    <n v="0"/>
    <n v="371361.33333332784"/>
    <n v="0"/>
    <n v="371361.33333333331"/>
    <n v="0"/>
    <n v="10554480"/>
    <n v="52772"/>
    <n v="0"/>
    <n v="334222.66666666174"/>
    <n v="0"/>
    <n v="334222.66666666663"/>
    <n v="0"/>
    <n v="9498960"/>
    <x v="2"/>
    <n v="0"/>
    <n v="0"/>
    <n v="0"/>
    <n v="0"/>
  </r>
  <r>
    <n v="354"/>
    <x v="2"/>
    <s v="P12SC04Y"/>
    <s v="SILICONE CONTAINER 600ML YELLOW"/>
    <x v="1"/>
    <n v="58636"/>
    <n v="5.9999999999999805"/>
    <n v="0"/>
    <n v="6.0000000000000009"/>
    <n v="172"/>
    <n v="0"/>
    <n v="0"/>
    <n v="16"/>
    <n v="0"/>
    <n v="0"/>
    <n v="16"/>
    <n v="65"/>
    <n v="188"/>
    <n v="939.99999999999989"/>
    <n v="0"/>
    <n v="0"/>
    <n v="0"/>
    <n v="0"/>
    <n v="939.99999999999989"/>
    <n v="0"/>
    <n v="351815.99999999884"/>
    <n v="0"/>
    <n v="351816.00000000006"/>
    <n v="0"/>
    <n v="11023568"/>
    <n v="52772"/>
    <n v="0"/>
    <n v="316631.99999999895"/>
    <n v="0"/>
    <n v="316632.00000000006"/>
    <n v="0"/>
    <n v="9921136"/>
    <x v="2"/>
    <n v="0"/>
    <n v="0"/>
    <n v="0"/>
    <n v="0"/>
  </r>
  <r>
    <n v="355"/>
    <x v="2"/>
    <s v="P12SK001"/>
    <s v="SK BOWL"/>
    <x v="2"/>
    <n v="15982"/>
    <n v="2"/>
    <n v="0"/>
    <n v="1.3333333333333333"/>
    <n v="52"/>
    <n v="0"/>
    <n v="0"/>
    <n v="0"/>
    <n v="0"/>
    <n v="0"/>
    <n v="12"/>
    <n v="65"/>
    <n v="52"/>
    <n v="1170"/>
    <n v="0"/>
    <n v="0"/>
    <n v="0"/>
    <n v="0"/>
    <n v="1170"/>
    <n v="0"/>
    <n v="31964"/>
    <n v="0"/>
    <n v="21309.333333333332"/>
    <n v="0"/>
    <n v="831064"/>
    <n v="14384"/>
    <n v="0"/>
    <n v="28768"/>
    <n v="0"/>
    <n v="19178.666666666664"/>
    <n v="0"/>
    <n v="747968"/>
    <x v="2"/>
    <n v="0"/>
    <n v="0"/>
    <n v="0"/>
    <n v="0"/>
  </r>
  <r>
    <n v="356"/>
    <x v="2"/>
    <s v="P12SK002"/>
    <s v="SK PLATE"/>
    <x v="2"/>
    <n v="15545"/>
    <n v="0.66666666666667007"/>
    <n v="0"/>
    <n v="0.66666666666666674"/>
    <n v="45"/>
    <n v="0"/>
    <n v="0"/>
    <n v="0"/>
    <n v="0"/>
    <n v="0"/>
    <n v="12"/>
    <n v="65"/>
    <n v="45"/>
    <n v="2024.9999999999995"/>
    <n v="0"/>
    <n v="0"/>
    <n v="0"/>
    <n v="0"/>
    <n v="2024.9999999999995"/>
    <n v="0"/>
    <n v="10363.333333333387"/>
    <n v="0"/>
    <n v="10363.333333333334"/>
    <n v="0"/>
    <n v="699525"/>
    <n v="13991"/>
    <n v="0"/>
    <n v="9327.3333333333812"/>
    <n v="0"/>
    <n v="9327.3333333333339"/>
    <n v="0"/>
    <n v="629595"/>
    <x v="2"/>
    <n v="0"/>
    <n v="0"/>
    <n v="0"/>
    <n v="0"/>
  </r>
  <r>
    <n v="357"/>
    <x v="2"/>
    <s v="P12SK005"/>
    <s v="SK SPOUT BOTTLE"/>
    <x v="3"/>
    <n v="29892"/>
    <n v="20.33333333333341"/>
    <n v="0"/>
    <n v="14.666666666666668"/>
    <n v="236"/>
    <n v="0"/>
    <n v="0"/>
    <n v="0"/>
    <n v="0"/>
    <n v="12"/>
    <n v="12"/>
    <n v="65"/>
    <n v="236"/>
    <n v="482.72727272727269"/>
    <n v="0"/>
    <n v="12"/>
    <n v="0"/>
    <n v="0"/>
    <n v="482.72727272727269"/>
    <n v="0"/>
    <n v="607804.00000000233"/>
    <n v="0"/>
    <n v="438416.00000000006"/>
    <n v="0"/>
    <n v="7054512"/>
    <n v="26902"/>
    <n v="0"/>
    <n v="547007.33333333535"/>
    <n v="0"/>
    <n v="394562.66666666669"/>
    <n v="0"/>
    <n v="6348872"/>
    <x v="2"/>
    <n v="-12"/>
    <n v="0"/>
    <n v="0"/>
    <n v="0"/>
  </r>
  <r>
    <n v="358"/>
    <x v="2"/>
    <s v="P12SK019"/>
    <s v="CUP WITH STRAW (270ML)"/>
    <x v="3"/>
    <n v="41784"/>
    <n v="862.33333333333485"/>
    <n v="1126.7988023521536"/>
    <n v="915.26626745071769"/>
    <n v="1815"/>
    <n v="264"/>
    <n v="48"/>
    <n v="479"/>
    <n v="156"/>
    <n v="180"/>
    <n v="12"/>
    <n v="65"/>
    <n v="2558"/>
    <n v="83.84445349848103"/>
    <n v="395.87571516204207"/>
    <n v="0"/>
    <n v="395.87571516204207"/>
    <n v="396"/>
    <n v="65.004073727254394"/>
    <n v="16546464"/>
    <n v="36031736.000000067"/>
    <n v="47082161.157482386"/>
    <n v="38243485.719160788"/>
    <n v="6518304"/>
    <n v="106883472"/>
    <n v="37606"/>
    <n v="14891976"/>
    <n v="32428907.333333392"/>
    <n v="42374395.761255093"/>
    <n v="34419503.253751688"/>
    <n v="5866536"/>
    <n v="96196148"/>
    <x v="1"/>
    <n v="396"/>
    <n v="0"/>
    <n v="0"/>
    <n v="0"/>
  </r>
  <r>
    <n v="359"/>
    <x v="2"/>
    <s v="P12SS008"/>
    <s v="LUNCH BOX 270ML"/>
    <x v="2"/>
    <n v="51000"/>
    <n v="0"/>
    <n v="0"/>
    <n v="0"/>
    <n v="47"/>
    <n v="0"/>
    <n v="0"/>
    <n v="1"/>
    <n v="0"/>
    <n v="0"/>
    <n v="24"/>
    <n v="65"/>
    <n v="48"/>
    <n v="9999"/>
    <n v="0"/>
    <n v="0"/>
    <n v="0"/>
    <n v="0"/>
    <n v="9999"/>
    <n v="0"/>
    <n v="0"/>
    <n v="0"/>
    <n v="0"/>
    <n v="0"/>
    <n v="2448000"/>
    <n v="45900"/>
    <n v="0"/>
    <n v="0"/>
    <n v="0"/>
    <n v="0"/>
    <n v="0"/>
    <n v="2203200"/>
    <x v="2"/>
    <n v="0"/>
    <n v="0"/>
    <n v="0"/>
    <n v="0"/>
  </r>
  <r>
    <n v="360"/>
    <x v="2"/>
    <s v="P12SS009"/>
    <s v="LUNCH BOX 360ML"/>
    <x v="2"/>
    <n v="57545"/>
    <n v="1"/>
    <n v="0"/>
    <n v="1"/>
    <n v="37"/>
    <n v="0"/>
    <n v="0"/>
    <n v="0"/>
    <n v="0"/>
    <n v="0"/>
    <n v="24"/>
    <n v="65"/>
    <n v="37"/>
    <n v="1110"/>
    <n v="0"/>
    <n v="0"/>
    <n v="0"/>
    <n v="0"/>
    <n v="1110"/>
    <n v="0"/>
    <n v="57545"/>
    <n v="0"/>
    <n v="57545"/>
    <n v="0"/>
    <n v="2129165"/>
    <n v="51791"/>
    <n v="0"/>
    <n v="51791"/>
    <n v="0"/>
    <n v="51791"/>
    <n v="0"/>
    <n v="1916267"/>
    <x v="2"/>
    <n v="0"/>
    <n v="0"/>
    <n v="0"/>
    <n v="0"/>
  </r>
  <r>
    <n v="361"/>
    <x v="2"/>
    <s v="P12TB001"/>
    <s v="TOOTHBRUSH WITH CASE"/>
    <x v="3"/>
    <n v="14891"/>
    <n v="1248.666666666667"/>
    <n v="1548.5609640062487"/>
    <n v="1321.1869880020829"/>
    <n v="2461"/>
    <n v="84"/>
    <n v="96"/>
    <n v="397"/>
    <n v="180"/>
    <n v="348"/>
    <n v="12"/>
    <n v="65"/>
    <n v="2942"/>
    <n v="66.803564371662475"/>
    <n v="1289.1327713440951"/>
    <n v="0"/>
    <n v="1289.1327713440951"/>
    <n v="1284"/>
    <n v="64.883450910642338"/>
    <n v="19120044"/>
    <n v="18593895.33333334"/>
    <n v="23059621.315017048"/>
    <n v="19673795.438339017"/>
    <n v="2680380"/>
    <n v="43809322"/>
    <n v="13402"/>
    <n v="17208168"/>
    <n v="16734630.666666672"/>
    <n v="20753814.039611746"/>
    <n v="17706548.013203915"/>
    <n v="2412360"/>
    <n v="39428684"/>
    <x v="1"/>
    <n v="1284"/>
    <n v="0"/>
    <n v="0"/>
    <n v="0"/>
  </r>
  <r>
    <n v="362"/>
    <x v="2"/>
    <s v="P12TB002"/>
    <s v="TOOTHBRUSH WITH RACK"/>
    <x v="3"/>
    <n v="19091"/>
    <n v="367.33333333333405"/>
    <n v="487.9716478028987"/>
    <n v="385.99054926763296"/>
    <n v="943"/>
    <n v="48"/>
    <n v="48"/>
    <n v="0"/>
    <n v="120"/>
    <n v="144"/>
    <n v="12"/>
    <n v="65"/>
    <n v="991"/>
    <n v="77.022611191928974"/>
    <n v="213.28450454943686"/>
    <n v="72"/>
    <n v="213.28450454943686"/>
    <n v="216"/>
    <n v="65.211054036611685"/>
    <n v="4123656"/>
    <n v="7012760.66666668"/>
    <n v="9315866.7282051388"/>
    <n v="7368945.5760683808"/>
    <n v="2290920"/>
    <n v="18919181"/>
    <n v="17182"/>
    <n v="3711312"/>
    <n v="6311521.3333333461"/>
    <n v="8384328.8525494058"/>
    <n v="6632089.6175164692"/>
    <n v="2061840"/>
    <n v="17027362"/>
    <x v="1"/>
    <n v="144"/>
    <n v="0"/>
    <n v="0"/>
    <n v="0"/>
  </r>
  <r>
    <n v="363"/>
    <x v="2"/>
    <s v="P12TB003"/>
    <s v="GUM MASSAGE TOOTHBRUSH"/>
    <x v="3"/>
    <n v="16757"/>
    <n v="540.00000000000034"/>
    <n v="668.58453049710874"/>
    <n v="590.5281768323697"/>
    <n v="1132"/>
    <n v="72"/>
    <n v="24"/>
    <n v="60"/>
    <n v="145"/>
    <n v="288"/>
    <n v="12"/>
    <n v="65"/>
    <n v="1264"/>
    <n v="64.213701373921339"/>
    <n v="539.06224696724303"/>
    <n v="107"/>
    <n v="539.06224696724303"/>
    <n v="540"/>
    <n v="65.047639709816409"/>
    <n v="9048780"/>
    <n v="9048780.0000000056"/>
    <n v="11203470.977540052"/>
    <n v="9895480.6591800191"/>
    <n v="2429765"/>
    <n v="21180848"/>
    <n v="15081"/>
    <n v="8143740"/>
    <n v="8143740.0000000056"/>
    <n v="10082923.304426897"/>
    <n v="8905755.4348089676"/>
    <n v="2186745"/>
    <n v="19062384"/>
    <x v="1"/>
    <n v="433"/>
    <n v="0"/>
    <n v="71"/>
    <n v="119"/>
  </r>
  <r>
    <n v="364"/>
    <x v="2"/>
    <s v="P12TER01"/>
    <s v="TER01 VACUUM FLASK 350ML"/>
    <x v="3"/>
    <n v="72703"/>
    <n v="545.66666666666561"/>
    <n v="777.07417131049704"/>
    <n v="591.69139043683231"/>
    <n v="599"/>
    <n v="125"/>
    <n v="525"/>
    <n v="558"/>
    <n v="600"/>
    <n v="425"/>
    <n v="25"/>
    <n v="65"/>
    <n v="1282"/>
    <n v="65.000100764700761"/>
    <n v="177.07218392363347"/>
    <n v="0"/>
    <n v="177.07218392363347"/>
    <n v="175"/>
    <n v="64.894935909641816"/>
    <n v="12723025"/>
    <n v="39671603.66666659"/>
    <n v="56495623.476787068"/>
    <n v="43017739.15892902"/>
    <n v="43621800"/>
    <n v="93205246"/>
    <n v="65433"/>
    <n v="11450775"/>
    <n v="35704606.999999933"/>
    <n v="50846294.251359753"/>
    <n v="38716142.750453249"/>
    <n v="39259800"/>
    <n v="83885106"/>
    <x v="1"/>
    <n v="175"/>
    <n v="0"/>
    <n v="0"/>
    <n v="0"/>
  </r>
  <r>
    <n v="365"/>
    <x v="2"/>
    <s v="P12TER02"/>
    <s v="TER02 VACUUM FLASK 500ML"/>
    <x v="3"/>
    <n v="82703"/>
    <n v="2205.333333333333"/>
    <n v="2130.7729880414818"/>
    <n v="2237.92432934716"/>
    <n v="1701"/>
    <n v="150"/>
    <n v="1125"/>
    <n v="900"/>
    <n v="1100"/>
    <n v="1200"/>
    <n v="25"/>
    <n v="65"/>
    <n v="2751"/>
    <n v="36.877922509594136"/>
    <n v="3128.6090349603282"/>
    <n v="325"/>
    <n v="2000"/>
    <n v="2000"/>
    <n v="49.870681012397377"/>
    <n v="165406000"/>
    <n v="182387682.66666663"/>
    <n v="176221318.42999467"/>
    <n v="185083055.80999818"/>
    <n v="90973300"/>
    <n v="227515953"/>
    <n v="74432"/>
    <n v="148864000"/>
    <n v="164147370.66666666"/>
    <n v="158597695.04590356"/>
    <n v="166573183.68196782"/>
    <n v="81875200"/>
    <n v="204762432"/>
    <x v="1"/>
    <n v="1675"/>
    <n v="0"/>
    <n v="0"/>
    <n v="0"/>
  </r>
  <r>
    <n v="366"/>
    <x v="2"/>
    <s v="P12TER04"/>
    <s v="TER04 VACUUM FLASK 500ML"/>
    <x v="3"/>
    <n v="93514"/>
    <n v="1184.3333333333367"/>
    <n v="1572.122917799112"/>
    <n v="1112.7076392663705"/>
    <n v="368"/>
    <n v="488"/>
    <n v="1168"/>
    <n v="2448"/>
    <n v="1344"/>
    <n v="864"/>
    <n v="24"/>
    <n v="65"/>
    <n v="3304"/>
    <n v="89.080003140224434"/>
    <n v="0"/>
    <n v="0"/>
    <n v="0"/>
    <n v="0"/>
    <n v="82.929521834564014"/>
    <n v="0"/>
    <n v="110751747.33333364"/>
    <n v="147015502.53506616"/>
    <n v="104053742.17835537"/>
    <n v="125682816"/>
    <n v="308970256"/>
    <n v="84162"/>
    <n v="0"/>
    <n v="99675862.000000283"/>
    <n v="132313009.00780886"/>
    <n v="93647700.335936278"/>
    <n v="113113728"/>
    <n v="278071248"/>
    <x v="1"/>
    <n v="0"/>
    <n v="0"/>
    <n v="0"/>
    <n v="0"/>
  </r>
  <r>
    <n v="367"/>
    <x v="2"/>
    <s v="P12TER05"/>
    <s v="FOOD JAR 400ML"/>
    <x v="3"/>
    <n v="113514"/>
    <n v="2"/>
    <n v="0"/>
    <n v="1"/>
    <n v="0"/>
    <n v="0"/>
    <n v="0"/>
    <n v="0"/>
    <n v="0"/>
    <n v="0"/>
    <n v="24"/>
    <n v="75"/>
    <n v="0"/>
    <n v="0"/>
    <n v="2.5"/>
    <n v="0"/>
    <n v="0"/>
    <n v="0"/>
    <n v="0"/>
    <n v="0"/>
    <n v="227028"/>
    <n v="0"/>
    <n v="113514"/>
    <n v="0"/>
    <n v="0"/>
    <n v="102163"/>
    <n v="0"/>
    <n v="204326"/>
    <n v="0"/>
    <n v="102163"/>
    <n v="0"/>
    <n v="0"/>
    <x v="2"/>
    <n v="0"/>
    <n v="0"/>
    <n v="0"/>
    <n v="0"/>
  </r>
  <r>
    <n v="368"/>
    <x v="2"/>
    <s v="P12TRI03"/>
    <s v="TRITAN SIPPER BOTTLE"/>
    <x v="1"/>
    <n v="71182"/>
    <n v="0.33333333333332998"/>
    <n v="0"/>
    <n v="0.33333333333333331"/>
    <n v="33"/>
    <n v="0"/>
    <n v="0"/>
    <n v="0"/>
    <n v="0"/>
    <n v="0"/>
    <n v="12"/>
    <n v="65"/>
    <n v="33"/>
    <n v="2970"/>
    <n v="0"/>
    <n v="0"/>
    <n v="0"/>
    <n v="0"/>
    <n v="2970"/>
    <n v="0"/>
    <n v="23727.333333333096"/>
    <n v="0"/>
    <n v="23727.333333333332"/>
    <n v="0"/>
    <n v="2349006"/>
    <n v="64064"/>
    <n v="0"/>
    <n v="21354.666666666453"/>
    <n v="0"/>
    <n v="21354.666666666664"/>
    <n v="0"/>
    <n v="2114112"/>
    <x v="2"/>
    <n v="0"/>
    <n v="0"/>
    <n v="0"/>
    <n v="0"/>
  </r>
  <r>
    <n v="369"/>
    <x v="2"/>
    <s v="P12TT001"/>
    <s v="COOLING TEETHER"/>
    <x v="3"/>
    <n v="16636"/>
    <n v="1701.3333333333412"/>
    <n v="2033.2957219106872"/>
    <n v="1714.0985739702294"/>
    <n v="2551"/>
    <n v="276"/>
    <n v="396"/>
    <n v="749"/>
    <n v="384"/>
    <n v="432"/>
    <n v="12"/>
    <n v="65"/>
    <n v="3576"/>
    <n v="62.586832303066394"/>
    <n v="1787.1759655128508"/>
    <n v="0"/>
    <n v="1787.1759655128508"/>
    <n v="1788"/>
    <n v="65.014422177924814"/>
    <n v="29745168"/>
    <n v="28303381.333333466"/>
    <n v="33825907.629706196"/>
    <n v="28515743.876568735"/>
    <n v="6388224"/>
    <n v="59490336"/>
    <n v="14972"/>
    <n v="26769936"/>
    <n v="25472362.666666783"/>
    <n v="30442503.548446808"/>
    <n v="25663483.849482276"/>
    <n v="5749248"/>
    <n v="53539872"/>
    <x v="1"/>
    <n v="1788"/>
    <n v="0"/>
    <n v="0"/>
    <n v="0"/>
  </r>
  <r>
    <n v="370"/>
    <x v="2"/>
    <s v="P12TT002"/>
    <s v="EASY GRIP TEETHER"/>
    <x v="3"/>
    <n v="17236"/>
    <n v="744.00000000000148"/>
    <n v="965.8297355944045"/>
    <n v="795.94324519813506"/>
    <n v="1313"/>
    <n v="108"/>
    <n v="204"/>
    <n v="193"/>
    <n v="204"/>
    <n v="228"/>
    <n v="12"/>
    <n v="65"/>
    <n v="1614"/>
    <n v="60.833483156134776"/>
    <n v="872.3734335236968"/>
    <n v="35"/>
    <n v="872.3734335236968"/>
    <n v="876"/>
    <n v="65.136689387020297"/>
    <n v="15098736"/>
    <n v="12823584.000000026"/>
    <n v="16647041.322705155"/>
    <n v="13718877.774235057"/>
    <n v="3516144"/>
    <n v="27818904"/>
    <n v="15512"/>
    <n v="13588512"/>
    <n v="11540928.000000022"/>
    <n v="14981950.858540403"/>
    <n v="12346671.619513471"/>
    <n v="3164448"/>
    <n v="25036368"/>
    <x v="1"/>
    <n v="841"/>
    <n v="0"/>
    <n v="0"/>
    <n v="0"/>
  </r>
  <r>
    <n v="371"/>
    <x v="2"/>
    <s v="P12TT003"/>
    <s v="EASY GRIP TEETHER"/>
    <x v="3"/>
    <n v="16909"/>
    <n v="-1.3333333333333002"/>
    <n v="0"/>
    <n v="12.333333333333334"/>
    <n v="58"/>
    <n v="0"/>
    <n v="0"/>
    <n v="0"/>
    <n v="0"/>
    <n v="0"/>
    <n v="12"/>
    <n v="65"/>
    <n v="58"/>
    <n v="141.08108108108107"/>
    <n v="0"/>
    <n v="0"/>
    <n v="0"/>
    <n v="0"/>
    <n v="141.08108108108107"/>
    <n v="0"/>
    <n v="-22545.333333332772"/>
    <n v="0"/>
    <n v="208544.33333333334"/>
    <n v="0"/>
    <n v="980722"/>
    <n v="15218"/>
    <n v="0"/>
    <n v="-20290.666666666162"/>
    <n v="0"/>
    <n v="187688.66666666669"/>
    <n v="0"/>
    <n v="882644"/>
    <x v="2"/>
    <n v="0"/>
    <n v="0"/>
    <n v="0"/>
    <n v="0"/>
  </r>
  <r>
    <n v="372"/>
    <x v="2"/>
    <s v="P12TT005"/>
    <s v="COOLING TEETHER CASE"/>
    <x v="3"/>
    <n v="16486"/>
    <n v="2890.3333333333467"/>
    <n v="3473.3885366280838"/>
    <n v="3148.4628455426946"/>
    <n v="4216"/>
    <n v="384"/>
    <n v="636"/>
    <n v="1267"/>
    <n v="711"/>
    <n v="984"/>
    <n v="12"/>
    <n v="65"/>
    <n v="5867"/>
    <n v="55.903470561572242"/>
    <n v="3717.0580353039222"/>
    <n v="0"/>
    <n v="3717.0580353039222"/>
    <n v="3720"/>
    <n v="65.028032390792632"/>
    <n v="61327920"/>
    <n v="47650035.333333552"/>
    <n v="57262283.414850593"/>
    <n v="51905558.471616864"/>
    <n v="11721546"/>
    <n v="96723362"/>
    <n v="14837"/>
    <n v="55193640"/>
    <n v="42883875.666666865"/>
    <n v="51534665.717950881"/>
    <n v="46713743.239316963"/>
    <n v="10549107"/>
    <n v="87048679"/>
    <x v="1"/>
    <n v="3720"/>
    <n v="0"/>
    <n v="0"/>
    <n v="0"/>
  </r>
  <r>
    <n v="373"/>
    <x v="2"/>
    <s v="P12TT008"/>
    <s v="PUZZLE TEETHER"/>
    <x v="3"/>
    <n v="18000"/>
    <n v="13.66666666666667"/>
    <n v="0"/>
    <n v="9.6666666666666679"/>
    <n v="51"/>
    <n v="0"/>
    <n v="0"/>
    <n v="0"/>
    <n v="0"/>
    <n v="12"/>
    <n v="12"/>
    <n v="65"/>
    <n v="51"/>
    <n v="158.27586206896549"/>
    <n v="0"/>
    <n v="12"/>
    <n v="0"/>
    <n v="0"/>
    <n v="158.27586206896549"/>
    <n v="0"/>
    <n v="246000.00000000006"/>
    <n v="0"/>
    <n v="174000.00000000003"/>
    <n v="0"/>
    <n v="918000"/>
    <n v="16200"/>
    <n v="0"/>
    <n v="221400.00000000006"/>
    <n v="0"/>
    <n v="156600.00000000003"/>
    <n v="0"/>
    <n v="826200"/>
    <x v="2"/>
    <n v="-12"/>
    <n v="0"/>
    <n v="0"/>
    <n v="0"/>
  </r>
  <r>
    <n v="374"/>
    <x v="2"/>
    <s v="P12TT009"/>
    <s v="MULTI TEETHER"/>
    <x v="3"/>
    <n v="25946"/>
    <n v="1423.0000000000016"/>
    <n v="1666.3158820652329"/>
    <n v="1447.7719606884114"/>
    <n v="2440"/>
    <n v="300"/>
    <n v="216"/>
    <n v="434"/>
    <n v="336"/>
    <n v="420"/>
    <n v="12"/>
    <n v="65"/>
    <n v="3174"/>
    <n v="65.770026347742757"/>
    <n v="1293.1551302234575"/>
    <n v="0"/>
    <n v="1293.1551302234575"/>
    <n v="1296"/>
    <n v="65.058949955941742"/>
    <n v="33626016"/>
    <n v="36921158.000000045"/>
    <n v="43234231.876064532"/>
    <n v="37563891.29202152"/>
    <n v="8717856"/>
    <n v="82352604"/>
    <n v="23351"/>
    <n v="30262896"/>
    <n v="33228473.000000037"/>
    <n v="38910142.162105255"/>
    <n v="33806923.05403509"/>
    <n v="7845936"/>
    <n v="74116074"/>
    <x v="1"/>
    <n v="1296"/>
    <n v="0"/>
    <n v="0"/>
    <n v="0"/>
  </r>
  <r>
    <n v="375"/>
    <x v="2"/>
    <s v="P12UF005"/>
    <s v="STEP LADDER POTTY"/>
    <x v="1"/>
    <n v="199091"/>
    <n v="9"/>
    <n v="25.318518874984498"/>
    <n v="14.4395062916615"/>
    <n v="55"/>
    <n v="0"/>
    <n v="12"/>
    <n v="0"/>
    <n v="12"/>
    <n v="12"/>
    <n v="6"/>
    <n v="65"/>
    <n v="55"/>
    <n v="114.26983490099235"/>
    <n v="0"/>
    <n v="12"/>
    <n v="0"/>
    <n v="0"/>
    <n v="86.598835756079097"/>
    <n v="0"/>
    <n v="1791819"/>
    <n v="5040689.2413395392"/>
    <n v="2874775.7471131799"/>
    <n v="2389092"/>
    <n v="10950005"/>
    <n v="179182"/>
    <n v="0"/>
    <n v="1612638"/>
    <n v="4536622.8490574723"/>
    <n v="2587299.6163524911"/>
    <n v="2150184"/>
    <n v="9855010"/>
    <x v="1"/>
    <n v="-12"/>
    <n v="0"/>
    <n v="0"/>
    <n v="0"/>
  </r>
  <r>
    <n v="376"/>
    <x v="2"/>
    <s v="P12WL001"/>
    <s v="WL001-WASLAP PERSEGI"/>
    <x v="2"/>
    <n v="22500"/>
    <n v="406.33333333333292"/>
    <n v="498.07814947402153"/>
    <n v="432.35938315800712"/>
    <n v="779"/>
    <n v="84"/>
    <n v="36"/>
    <n v="12"/>
    <n v="120"/>
    <n v="168"/>
    <n v="12"/>
    <n v="65"/>
    <n v="875"/>
    <n v="60.713381095760454"/>
    <n v="439.85681298303689"/>
    <n v="72"/>
    <n v="439.85681298303689"/>
    <n v="444"/>
    <n v="65.287482162642164"/>
    <n v="9990000"/>
    <n v="9142499.9999999907"/>
    <n v="11206758.363165485"/>
    <n v="9728086.1210551597"/>
    <n v="2700000"/>
    <n v="19687500"/>
    <n v="20250"/>
    <n v="8991000"/>
    <n v="8228249.9999999916"/>
    <n v="10086082.526848936"/>
    <n v="8755277.5089496449"/>
    <n v="2430000"/>
    <n v="17718750"/>
    <x v="1"/>
    <n v="372"/>
    <n v="0"/>
    <n v="24"/>
    <n v="60"/>
  </r>
  <r>
    <n v="377"/>
    <x v="2"/>
    <s v="P12WL002"/>
    <s v="WL002-WASLAP TANGAN"/>
    <x v="3"/>
    <n v="24000"/>
    <n v="783.00000000000455"/>
    <n v="941.05955941775574"/>
    <n v="845.01985313925184"/>
    <n v="1261"/>
    <n v="192"/>
    <n v="96"/>
    <n v="230"/>
    <n v="156"/>
    <n v="288"/>
    <n v="12"/>
    <n v="65"/>
    <n v="1683"/>
    <n v="59.750075471516396"/>
    <n v="932.93590788613437"/>
    <n v="0"/>
    <n v="932.93590788613437"/>
    <n v="936"/>
    <n v="65.108781779593059"/>
    <n v="22464000"/>
    <n v="18792000.000000108"/>
    <n v="22585429.426026139"/>
    <n v="20280476.475342043"/>
    <n v="3744000"/>
    <n v="40392000"/>
    <n v="21600"/>
    <n v="20217600"/>
    <n v="16912800.000000097"/>
    <n v="20326886.483423524"/>
    <n v="18252428.82780784"/>
    <n v="3369600"/>
    <n v="36352800"/>
    <x v="1"/>
    <n v="936"/>
    <n v="0"/>
    <n v="0"/>
    <n v="0"/>
  </r>
  <r>
    <n v="378"/>
    <x v="2"/>
    <s v="P12WL003"/>
    <s v="WL003-WASLAP"/>
    <x v="2"/>
    <n v="22162"/>
    <n v="16"/>
    <n v="0"/>
    <n v="10"/>
    <n v="74"/>
    <n v="0"/>
    <n v="0"/>
    <n v="0"/>
    <n v="0"/>
    <n v="12"/>
    <n v="12"/>
    <n v="65"/>
    <n v="74"/>
    <n v="222"/>
    <n v="0"/>
    <n v="12"/>
    <n v="0"/>
    <n v="0"/>
    <n v="222"/>
    <n v="0"/>
    <n v="354592"/>
    <n v="0"/>
    <n v="221620"/>
    <n v="0"/>
    <n v="1639988"/>
    <n v="19946"/>
    <n v="0"/>
    <n v="319136"/>
    <n v="0"/>
    <n v="199460"/>
    <n v="0"/>
    <n v="1476004"/>
    <x v="2"/>
    <n v="-12"/>
    <n v="0"/>
    <n v="0"/>
    <n v="0"/>
  </r>
  <r>
    <n v="379"/>
    <x v="2"/>
    <s v="P12WN30B"/>
    <s v="BOTTLE 3 STAGE BLUE"/>
    <x v="3"/>
    <n v="43514"/>
    <n v="4.6666666666666998"/>
    <n v="0"/>
    <n v="4"/>
    <n v="343"/>
    <n v="0"/>
    <n v="0"/>
    <n v="0"/>
    <n v="0"/>
    <n v="0"/>
    <n v="12"/>
    <n v="65"/>
    <n v="343"/>
    <n v="2572.5"/>
    <n v="0"/>
    <n v="0"/>
    <n v="0"/>
    <n v="0"/>
    <n v="2572.5"/>
    <n v="0"/>
    <n v="203065.33333333477"/>
    <n v="0"/>
    <n v="174056"/>
    <n v="0"/>
    <n v="14925302"/>
    <n v="39162"/>
    <n v="0"/>
    <n v="182756.00000000131"/>
    <n v="0"/>
    <n v="156648"/>
    <n v="0"/>
    <n v="13432566"/>
    <x v="2"/>
    <n v="0"/>
    <n v="0"/>
    <n v="0"/>
    <n v="0"/>
  </r>
  <r>
    <n v="380"/>
    <x v="2"/>
    <s v="P12WN30G"/>
    <s v="BOTTLE 3 STAGE GREEN"/>
    <x v="3"/>
    <n v="43514"/>
    <n v="72.999999999999929"/>
    <n v="0"/>
    <n v="35.333333333333343"/>
    <n v="97"/>
    <n v="0"/>
    <n v="0"/>
    <n v="0"/>
    <n v="0"/>
    <n v="36"/>
    <n v="12"/>
    <n v="65"/>
    <n v="97"/>
    <n v="82.358490566037716"/>
    <n v="0"/>
    <n v="36"/>
    <n v="0"/>
    <n v="0"/>
    <n v="82.358490566037716"/>
    <n v="0"/>
    <n v="3176521.9999999967"/>
    <n v="0"/>
    <n v="1537494.666666667"/>
    <n v="0"/>
    <n v="4220858"/>
    <n v="39162"/>
    <n v="0"/>
    <n v="2858825.9999999972"/>
    <n v="0"/>
    <n v="1383724.0000000005"/>
    <n v="0"/>
    <n v="3798714"/>
    <x v="2"/>
    <n v="-36"/>
    <n v="0"/>
    <n v="0"/>
    <n v="0"/>
  </r>
  <r>
    <n v="381"/>
    <x v="2"/>
    <s v="P12WN30P"/>
    <s v="BOTTLE 3 STAGE PINK"/>
    <x v="3"/>
    <n v="43514"/>
    <n v="90.999999999999602"/>
    <n v="0"/>
    <n v="36.666666666666671"/>
    <n v="200"/>
    <n v="0"/>
    <n v="0"/>
    <n v="0"/>
    <n v="0"/>
    <n v="48"/>
    <n v="12"/>
    <n v="65"/>
    <n v="200"/>
    <n v="163.63636363636363"/>
    <n v="0"/>
    <n v="48"/>
    <n v="0"/>
    <n v="0"/>
    <n v="163.63636363636363"/>
    <n v="0"/>
    <n v="3959773.9999999828"/>
    <n v="0"/>
    <n v="1595513.3333333335"/>
    <n v="0"/>
    <n v="8702800"/>
    <n v="39162"/>
    <n v="0"/>
    <n v="3563741.9999999846"/>
    <n v="0"/>
    <n v="1435940.0000000002"/>
    <n v="0"/>
    <n v="7832400"/>
    <x v="2"/>
    <n v="-48"/>
    <n v="0"/>
    <n v="0"/>
    <n v="0"/>
  </r>
  <r>
    <n v="382"/>
    <x v="3"/>
    <s v="P3700001"/>
    <s v="MENTHOLATUM ACNE COVER"/>
    <x v="2"/>
    <n v="63900"/>
    <n v="548.66666666666288"/>
    <n v="740.03499999999997"/>
    <n v="605.01166666666666"/>
    <n v="1593"/>
    <n v="72"/>
    <n v="0"/>
    <n v="48"/>
    <n v="144"/>
    <n v="360"/>
    <n v="72"/>
    <n v="60"/>
    <n v="1713"/>
    <n v="84.940510789048147"/>
    <n v="93.058333333333394"/>
    <n v="168"/>
    <n v="168"/>
    <n v="144"/>
    <n v="62.525984347409285"/>
    <n v="9201600"/>
    <n v="35059799.999999754"/>
    <n v="47288236.5"/>
    <n v="38660245.5"/>
    <n v="9201600"/>
    <n v="109460700"/>
    <n v="40206"/>
    <n v="5789664"/>
    <n v="22059691.999999847"/>
    <n v="29753847.209999997"/>
    <n v="24325099.07"/>
    <n v="5789664"/>
    <n v="68872878"/>
    <x v="0"/>
    <n v="-24"/>
    <n v="0"/>
    <n v="0"/>
    <n v="0"/>
  </r>
  <r>
    <n v="383"/>
    <x v="3"/>
    <s v="P3700002"/>
    <s v="MENTHOLATUM AD LOTION"/>
    <x v="1"/>
    <n v="96300"/>
    <n v="279.33333333333087"/>
    <n v="443.35300000000001"/>
    <n v="303.11766666666665"/>
    <n v="1096"/>
    <n v="18"/>
    <n v="32"/>
    <n v="0"/>
    <n v="0"/>
    <n v="162"/>
    <n v="18"/>
    <n v="60"/>
    <n v="1114"/>
    <n v="110.25421371018736"/>
    <n v="0"/>
    <n v="194"/>
    <n v="0"/>
    <n v="0"/>
    <n v="66.374917111396769"/>
    <n v="0"/>
    <n v="26899799.999999762"/>
    <n v="42694893.899999999"/>
    <n v="29190231.299999997"/>
    <n v="0"/>
    <n v="107278200"/>
    <n v="60592"/>
    <n v="0"/>
    <n v="16925365.333333183"/>
    <n v="26863644.976"/>
    <n v="18366505.658666667"/>
    <n v="0"/>
    <n v="67499488"/>
    <x v="0"/>
    <n v="-194"/>
    <n v="0"/>
    <n v="0"/>
    <n v="0"/>
  </r>
  <r>
    <n v="384"/>
    <x v="3"/>
    <s v="P3700003"/>
    <s v="MENTHOLATUM AD BOTANICAL LOTION"/>
    <x v="1"/>
    <n v="105300"/>
    <n v="147.66666666666637"/>
    <n v="245"/>
    <n v="177.66666666666669"/>
    <n v="793"/>
    <n v="54"/>
    <n v="18"/>
    <n v="72"/>
    <n v="0"/>
    <n v="72"/>
    <n v="18"/>
    <n v="60"/>
    <n v="919"/>
    <n v="155.17823639774858"/>
    <n v="0"/>
    <n v="18"/>
    <n v="0"/>
    <n v="0"/>
    <n v="113.80863039399624"/>
    <n v="0"/>
    <n v="15549299.999999968"/>
    <n v="25798500"/>
    <n v="18708300.000000004"/>
    <n v="0"/>
    <n v="96770700"/>
    <n v="66255"/>
    <n v="0"/>
    <n v="9783654.9999999814"/>
    <n v="16232475"/>
    <n v="11771305.000000002"/>
    <n v="0"/>
    <n v="60888345"/>
    <x v="0"/>
    <n v="-18"/>
    <n v="0"/>
    <n v="0"/>
    <n v="0"/>
  </r>
  <r>
    <n v="385"/>
    <x v="3"/>
    <s v="P3700004"/>
    <s v="SKIN AQUA UV MIST LIGHT MOIST 40 GR"/>
    <x v="2"/>
    <n v="72900"/>
    <n v="1680.0000000000093"/>
    <n v="2006.7465000000002"/>
    <n v="1672.2488333333336"/>
    <n v="1306"/>
    <n v="1"/>
    <n v="259"/>
    <n v="0"/>
    <n v="396"/>
    <n v="2268"/>
    <n v="36"/>
    <n v="60"/>
    <n v="1307"/>
    <n v="23.447467397445731"/>
    <n v="3648.2441666666673"/>
    <n v="2131"/>
    <n v="3101.0075416666673"/>
    <n v="3096"/>
    <n v="50.092787227738128"/>
    <n v="225698400"/>
    <n v="122472000.00000069"/>
    <n v="146291819.85000002"/>
    <n v="121906939.95000002"/>
    <n v="28868400"/>
    <n v="95280300"/>
    <n v="45869"/>
    <n v="142010424"/>
    <n v="77059920.000000432"/>
    <n v="92047455.208500013"/>
    <n v="76704381.736166671"/>
    <n v="18164124"/>
    <n v="59950783"/>
    <x v="0"/>
    <n v="965"/>
    <n v="0"/>
    <n v="0"/>
    <n v="0"/>
  </r>
  <r>
    <n v="386"/>
    <x v="3"/>
    <s v="P3700005"/>
    <s v="HL GOKUJYUN ALFA PREMIUM 100 ML"/>
    <x v="2"/>
    <n v="92700"/>
    <n v="856.33333333333519"/>
    <n v="1095.4494999999999"/>
    <n v="1036.1498333333334"/>
    <n v="1126"/>
    <n v="36"/>
    <n v="0"/>
    <n v="0"/>
    <n v="342"/>
    <n v="990"/>
    <n v="18"/>
    <n v="60"/>
    <n v="1162"/>
    <n v="33.643782857016014"/>
    <n v="1663.7491666666665"/>
    <n v="648"/>
    <n v="1414.1867916666665"/>
    <n v="1422"/>
    <n v="53.000553813082696"/>
    <n v="131819400"/>
    <n v="79382100.000000179"/>
    <n v="101548168.64999999"/>
    <n v="96051089.550000012"/>
    <n v="31703400"/>
    <n v="107717400"/>
    <n v="58327"/>
    <n v="82940994"/>
    <n v="49947354.33333344"/>
    <n v="63894282.986499995"/>
    <n v="60435511.328833334"/>
    <n v="19947834"/>
    <n v="67775974"/>
    <x v="0"/>
    <n v="774"/>
    <n v="0"/>
    <n v="0"/>
    <n v="0"/>
  </r>
  <r>
    <n v="387"/>
    <x v="3"/>
    <s v="P3700015"/>
    <s v="KHALISA UV SKIN OASIS PNK BLUSH 40G"/>
    <x v="2"/>
    <n v="50040"/>
    <n v="539.99999999999989"/>
    <n v="971.01"/>
    <n v="666.00333333333322"/>
    <n v="11934"/>
    <n v="420"/>
    <n v="180"/>
    <n v="6480"/>
    <n v="1080"/>
    <n v="420"/>
    <n v="60"/>
    <n v="60"/>
    <n v="18834"/>
    <n v="848.37413226160038"/>
    <n v="0"/>
    <n v="0"/>
    <n v="0"/>
    <n v="0"/>
    <n v="853.28356714931374"/>
    <n v="0"/>
    <n v="27021599.999999993"/>
    <n v="48589340.399999999"/>
    <n v="33326806.799999993"/>
    <n v="54043200"/>
    <n v="942453360"/>
    <n v="31485"/>
    <n v="0"/>
    <n v="17001899.999999996"/>
    <n v="30572249.850000001"/>
    <n v="20969114.949999996"/>
    <n v="34003800"/>
    <n v="592988490"/>
    <x v="0"/>
    <n v="0"/>
    <n v="0"/>
    <n v="0"/>
    <n v="0"/>
  </r>
  <r>
    <n v="388"/>
    <x v="3"/>
    <s v="P3700019"/>
    <s v="ACNES DERMA ANTI-ACNE ESS 20ML"/>
    <x v="1"/>
    <n v="73350"/>
    <n v="83.666666666666345"/>
    <n v="266"/>
    <n v="131.66666666666666"/>
    <n v="974"/>
    <n v="72"/>
    <n v="0"/>
    <n v="24"/>
    <n v="0"/>
    <n v="72"/>
    <n v="24"/>
    <n v="60"/>
    <n v="1070"/>
    <n v="243.79746835443041"/>
    <n v="0"/>
    <n v="48"/>
    <n v="0"/>
    <n v="0"/>
    <n v="183.18987341772154"/>
    <n v="0"/>
    <n v="6136949.9999999767"/>
    <n v="19511100"/>
    <n v="9657750"/>
    <n v="0"/>
    <n v="78484500"/>
    <n v="46152"/>
    <n v="0"/>
    <n v="3861383.9999999851"/>
    <n v="12276432"/>
    <n v="6076680"/>
    <n v="0"/>
    <n v="49382640"/>
    <x v="0"/>
    <n v="-48"/>
    <n v="24"/>
    <n v="24"/>
    <n v="24"/>
  </r>
  <r>
    <n v="389"/>
    <x v="3"/>
    <s v="P3700020"/>
    <s v="ACNES DERMA BOOSTER ESS 20ML"/>
    <x v="1"/>
    <n v="73350"/>
    <n v="47.000000000000398"/>
    <n v="295.67"/>
    <n v="129.22333333333336"/>
    <n v="849"/>
    <n v="0"/>
    <n v="24"/>
    <n v="6"/>
    <n v="0"/>
    <n v="72"/>
    <n v="24"/>
    <n v="60"/>
    <n v="855"/>
    <n v="198.49356411380808"/>
    <n v="0"/>
    <n v="90"/>
    <n v="0"/>
    <n v="0"/>
    <n v="129.85193592488451"/>
    <n v="0"/>
    <n v="3447450.0000000293"/>
    <n v="21687394.5"/>
    <n v="9478531.5000000019"/>
    <n v="0"/>
    <n v="62714250"/>
    <n v="46152"/>
    <n v="0"/>
    <n v="2169144.0000000182"/>
    <n v="13645761.84"/>
    <n v="5963915.2800000012"/>
    <n v="0"/>
    <n v="39459960"/>
    <x v="0"/>
    <n v="-90"/>
    <n v="18"/>
    <n v="42"/>
    <n v="42"/>
  </r>
  <r>
    <n v="390"/>
    <x v="3"/>
    <s v="P3700021"/>
    <s v="SKIN AQUA MOIST GEL POUCH 40 GR"/>
    <x v="3"/>
    <n v="56700"/>
    <n v="28199.666666666635"/>
    <n v="30130.349999999995"/>
    <n v="26200.116666666672"/>
    <n v="37152"/>
    <n v="4512"/>
    <n v="2496"/>
    <n v="15514"/>
    <n v="18432"/>
    <n v="7584"/>
    <n v="96"/>
    <n v="60"/>
    <n v="57178"/>
    <n v="65.470700830212579"/>
    <n v="6920.583333333343"/>
    <n v="0"/>
    <n v="2422.2041666666701"/>
    <n v="2400"/>
    <n v="54.823782591298894"/>
    <n v="136080000"/>
    <n v="1598921099.9999983"/>
    <n v="1708390844.9999998"/>
    <n v="1485546615.0000002"/>
    <n v="1045094400"/>
    <n v="3241992600"/>
    <n v="35676"/>
    <n v="85622400"/>
    <n v="1006051307.9999989"/>
    <n v="1074930366.5999999"/>
    <n v="934715362.20000017"/>
    <n v="657580032"/>
    <n v="2039882328"/>
    <x v="0"/>
    <n v="2400"/>
    <n v="0"/>
    <n v="0"/>
    <n v="0"/>
  </r>
  <r>
    <n v="391"/>
    <x v="3"/>
    <s v="P3700022"/>
    <s v="SKIN AQUA MILD MILK POUCH 40 GR"/>
    <x v="2"/>
    <n v="56700"/>
    <n v="15309.666666666815"/>
    <n v="17091.672000000002"/>
    <n v="14554.890666666664"/>
    <n v="21809"/>
    <n v="2880"/>
    <n v="1248"/>
    <n v="7872"/>
    <n v="10656"/>
    <n v="4416"/>
    <n v="96"/>
    <n v="60"/>
    <n v="32561"/>
    <n v="67.11352372004535"/>
    <n v="2984.4533333333311"/>
    <n v="0"/>
    <n v="1044.5586666666659"/>
    <n v="1056"/>
    <n v="56.025143621827738"/>
    <n v="59875200"/>
    <n v="868058100.00000846"/>
    <n v="969097802.4000001"/>
    <n v="825262300.79999983"/>
    <n v="604195200"/>
    <n v="1846208700"/>
    <n v="35676"/>
    <n v="37673856"/>
    <n v="546187668.00000525"/>
    <n v="609762490.27200007"/>
    <n v="519260279.42399991"/>
    <n v="380163456"/>
    <n v="1161646236"/>
    <x v="0"/>
    <n v="1056"/>
    <n v="0"/>
    <n v="0"/>
    <n v="0"/>
  </r>
  <r>
    <n v="392"/>
    <x v="3"/>
    <s v="P3700023"/>
    <s v="SKIN AQUA MOIST MILK POUCH 40 GR"/>
    <x v="3"/>
    <n v="56700"/>
    <n v="56031.666666666759"/>
    <n v="57576.67"/>
    <n v="48065.889999999992"/>
    <n v="58186"/>
    <n v="10176"/>
    <n v="8736"/>
    <n v="56064"/>
    <n v="42624"/>
    <n v="20928"/>
    <n v="96"/>
    <n v="60"/>
    <n v="124426"/>
    <n v="77.659645956831355"/>
    <n v="0"/>
    <n v="0"/>
    <n v="0"/>
    <n v="0"/>
    <n v="68.327038155332204"/>
    <n v="0"/>
    <n v="3176995500.0000052"/>
    <n v="3264597189"/>
    <n v="2725335962.9999995"/>
    <n v="2416780800"/>
    <n v="7054954200"/>
    <n v="35676"/>
    <n v="0"/>
    <n v="1998985740.0000033"/>
    <n v="2054105278.9199998"/>
    <n v="1714798691.6399996"/>
    <n v="1520653824"/>
    <n v="4439021976"/>
    <x v="0"/>
    <n v="0"/>
    <n v="0"/>
    <n v="0"/>
    <n v="0"/>
  </r>
  <r>
    <n v="393"/>
    <x v="3"/>
    <s v="P3700024"/>
    <s v="SKIN AQUA WHITENING MILK POUCH 40GR"/>
    <x v="3"/>
    <n v="56700"/>
    <n v="165632.66666666666"/>
    <n v="183730.67"/>
    <n v="156453.88999999996"/>
    <n v="207864"/>
    <n v="27456"/>
    <n v="15456"/>
    <n v="141460"/>
    <n v="116064"/>
    <n v="61536"/>
    <n v="96"/>
    <n v="60"/>
    <n v="376780"/>
    <n v="72.247484546405346"/>
    <n v="3794.4499999999534"/>
    <n v="0"/>
    <n v="1328.0574999999835"/>
    <n v="1344"/>
    <n v="59.530126735743046"/>
    <n v="76204800"/>
    <n v="9391372200"/>
    <n v="10417528989"/>
    <n v="8870935562.9999981"/>
    <n v="6580828800"/>
    <n v="21363426000"/>
    <n v="35676"/>
    <n v="47948544"/>
    <n v="5909111016"/>
    <n v="6554775382.9200001"/>
    <n v="5581648979.6399984"/>
    <n v="4140699264"/>
    <n v="13442003280"/>
    <x v="0"/>
    <n v="1344"/>
    <n v="0"/>
    <n v="0"/>
    <n v="0"/>
  </r>
  <r>
    <n v="394"/>
    <x v="3"/>
    <s v="P3700025"/>
    <s v="KHALISA SUNSCREEN SKIN OASIS 40 GR"/>
    <x v="2"/>
    <n v="50040"/>
    <n v="122.33333333333304"/>
    <n v="529.71800000000007"/>
    <n v="317.57266666666669"/>
    <n v="983"/>
    <n v="0"/>
    <n v="120"/>
    <n v="156"/>
    <n v="0"/>
    <n v="180"/>
    <n v="60"/>
    <n v="60"/>
    <n v="1139"/>
    <n v="107.59742127261161"/>
    <n v="25.863333333333458"/>
    <n v="144"/>
    <n v="144"/>
    <n v="120"/>
    <n v="68.892767849458068"/>
    <n v="6004800"/>
    <n v="6121559.9999999851"/>
    <n v="26507088.720000003"/>
    <n v="15891336.240000002"/>
    <n v="0"/>
    <n v="56995560"/>
    <n v="31485"/>
    <n v="3778200"/>
    <n v="3851664.9999999907"/>
    <n v="16678171.230000002"/>
    <n v="9998775.4100000001"/>
    <n v="0"/>
    <n v="35861415"/>
    <x v="0"/>
    <n v="-24"/>
    <n v="0"/>
    <n v="0"/>
    <n v="0"/>
  </r>
  <r>
    <n v="395"/>
    <x v="3"/>
    <s v="P3700029"/>
    <s v="SUNPLAY ULT PROTECT SUNSCREEN SPRAY"/>
    <x v="2"/>
    <n v="90900"/>
    <n v="551.00000000000114"/>
    <n v="776.49000000000012"/>
    <n v="631.49666666666667"/>
    <n v="1442"/>
    <n v="108"/>
    <n v="0"/>
    <n v="0"/>
    <n v="396"/>
    <n v="252"/>
    <n v="36"/>
    <n v="60"/>
    <n v="1550"/>
    <n v="73.63459295113725"/>
    <n v="93.483333333333576"/>
    <n v="0"/>
    <n v="0"/>
    <n v="0"/>
    <n v="55.558963098248071"/>
    <n v="0"/>
    <n v="50085900.000000104"/>
    <n v="70582941.000000015"/>
    <n v="57403047"/>
    <n v="35996400"/>
    <n v="140895000"/>
    <n v="57194"/>
    <n v="0"/>
    <n v="31513894.000000063"/>
    <n v="44410569.06000001"/>
    <n v="36117820.353333332"/>
    <n v="22648824"/>
    <n v="88650700"/>
    <x v="0"/>
    <n v="0"/>
    <n v="0"/>
    <n v="0"/>
    <n v="0"/>
  </r>
  <r>
    <n v="396"/>
    <x v="3"/>
    <s v="P3700030"/>
    <s v="HL GOKUJYUN PREM MOIS EYE CRM 15GR"/>
    <x v="2"/>
    <n v="104940"/>
    <n v="631.33333333333576"/>
    <n v="0"/>
    <n v="170.66666666666663"/>
    <n v="440"/>
    <n v="0"/>
    <n v="954"/>
    <n v="3744"/>
    <n v="1782"/>
    <n v="162"/>
    <n v="18"/>
    <n v="60"/>
    <n v="4184"/>
    <n v="735.46875000000023"/>
    <n v="0"/>
    <n v="0"/>
    <n v="0"/>
    <n v="0"/>
    <n v="1048.7109375000002"/>
    <n v="0"/>
    <n v="66252120.000000253"/>
    <n v="0"/>
    <n v="17909759.999999996"/>
    <n v="187003080"/>
    <n v="439068960"/>
    <n v="66028"/>
    <n v="0"/>
    <n v="41685677.333333492"/>
    <n v="0"/>
    <n v="11268778.666666664"/>
    <n v="117661896"/>
    <n v="276261152"/>
    <x v="0"/>
    <n v="0"/>
    <n v="0"/>
    <n v="0"/>
    <n v="0"/>
  </r>
  <r>
    <n v="397"/>
    <x v="3"/>
    <s v="P3700031"/>
    <s v="HL GOKUJYUN PREM MOIS SERUM 20ML"/>
    <x v="2"/>
    <n v="92700"/>
    <n v="1689.3333333333237"/>
    <n v="1835.3030000000001"/>
    <n v="1566.4343333333331"/>
    <n v="2460"/>
    <n v="270"/>
    <n v="0"/>
    <n v="99"/>
    <n v="486"/>
    <n v="738"/>
    <n v="18"/>
    <n v="60"/>
    <n v="2829"/>
    <n v="54.180375259905574"/>
    <n v="1653.1716666666662"/>
    <n v="153"/>
    <n v="1405.1959166666661"/>
    <n v="1404"/>
    <n v="55.227919970259428"/>
    <n v="130150800"/>
    <n v="156601199.99999911"/>
    <n v="170132588.10000002"/>
    <n v="145208462.69999999"/>
    <n v="45052200"/>
    <n v="262248300"/>
    <n v="58327"/>
    <n v="81891108"/>
    <n v="98533745.333332777"/>
    <n v="107047718.081"/>
    <n v="91365415.360333323"/>
    <n v="28346922"/>
    <n v="165007083"/>
    <x v="0"/>
    <n v="1251"/>
    <n v="0"/>
    <n v="63"/>
    <n v="243"/>
  </r>
  <r>
    <n v="398"/>
    <x v="3"/>
    <s v="P3700032"/>
    <s v="HL SHIROJYUN PREM WHITE SERUM 20ML"/>
    <x v="2"/>
    <n v="92700"/>
    <n v="2298.9999999999859"/>
    <n v="3445.37"/>
    <n v="2525.79"/>
    <n v="2399"/>
    <n v="1260"/>
    <n v="612"/>
    <n v="2376"/>
    <n v="1728"/>
    <n v="1206"/>
    <n v="18"/>
    <n v="60"/>
    <n v="6035"/>
    <n v="71.680543513118664"/>
    <n v="733.95000000000073"/>
    <n v="0"/>
    <n v="256.88250000000022"/>
    <n v="252"/>
    <n v="54.275652370149537"/>
    <n v="23360400"/>
    <n v="213117299.99999869"/>
    <n v="319385799"/>
    <n v="234140733"/>
    <n v="160185600"/>
    <n v="559444500"/>
    <n v="58327"/>
    <n v="14698404"/>
    <n v="134093772.99999918"/>
    <n v="200958095.98999998"/>
    <n v="147321753.32999998"/>
    <n v="100789056"/>
    <n v="352003445"/>
    <x v="0"/>
    <n v="252"/>
    <n v="0"/>
    <n v="0"/>
    <n v="0"/>
  </r>
  <r>
    <n v="399"/>
    <x v="3"/>
    <s v="P3700033"/>
    <s v="SKIN AQUA NEXTA SHIELD SERUM UV 40G"/>
    <x v="2"/>
    <n v="72900"/>
    <n v="816.00000000000352"/>
    <n v="1208.9349999999999"/>
    <n v="864.97833333333347"/>
    <n v="1746"/>
    <n v="0"/>
    <n v="288"/>
    <n v="0"/>
    <n v="288"/>
    <n v="828"/>
    <n v="36"/>
    <n v="60"/>
    <n v="1746"/>
    <n v="60.556430122527146"/>
    <n v="904.89166666666688"/>
    <n v="828"/>
    <n v="904.89166666666688"/>
    <n v="900"/>
    <n v="59.8303425712012"/>
    <n v="65610000"/>
    <n v="59486400.000000253"/>
    <n v="88131361.5"/>
    <n v="63056920.500000007"/>
    <n v="20995200"/>
    <n v="127283400"/>
    <n v="45869"/>
    <n v="41282100"/>
    <n v="37429104.000000164"/>
    <n v="55452639.515000001"/>
    <n v="39675691.171666674"/>
    <n v="13210272"/>
    <n v="80087274"/>
    <x v="0"/>
    <n v="72"/>
    <n v="0"/>
    <n v="0"/>
    <n v="0"/>
  </r>
  <r>
    <n v="400"/>
    <x v="3"/>
    <s v="P3700034"/>
    <s v="HL GOKUJYUN ALPHA ANTIAGING SRM20ML"/>
    <x v="2"/>
    <n v="110700"/>
    <n v="1553.9999999999968"/>
    <n v="1686.067"/>
    <n v="1566.3556666666664"/>
    <n v="2456"/>
    <n v="126"/>
    <n v="144"/>
    <n v="0"/>
    <n v="1134"/>
    <n v="630"/>
    <n v="18"/>
    <n v="60"/>
    <n v="2582"/>
    <n v="49.452370013025998"/>
    <n v="1102.7783333333327"/>
    <n v="0"/>
    <n v="385.97241666666645"/>
    <n v="378"/>
    <n v="46.11851033407271"/>
    <n v="41844600"/>
    <n v="172027799.99999964"/>
    <n v="186647616.90000001"/>
    <n v="173395572.29999995"/>
    <n v="125533800"/>
    <n v="285827400"/>
    <n v="69652"/>
    <n v="26328456"/>
    <n v="108239207.99999978"/>
    <n v="117437938.684"/>
    <n v="109099804.89466664"/>
    <n v="78985368"/>
    <n v="179841464"/>
    <x v="0"/>
    <n v="378"/>
    <n v="0"/>
    <n v="0"/>
    <n v="0"/>
  </r>
  <r>
    <n v="401"/>
    <x v="3"/>
    <s v="P3700035"/>
    <s v="MELANO CC VIT C BRIGHT TONER 170ML"/>
    <x v="2"/>
    <n v="102150"/>
    <n v="2035.6666666666672"/>
    <n v="2735.3339999999998"/>
    <n v="2342.1113333333333"/>
    <n v="2927"/>
    <n v="0"/>
    <n v="0"/>
    <n v="0"/>
    <n v="2064"/>
    <n v="2400"/>
    <n v="48"/>
    <n v="60"/>
    <n v="2927"/>
    <n v="37.491812942567208"/>
    <n v="2428.5566666666664"/>
    <n v="336"/>
    <n v="2064.2731666666664"/>
    <n v="2064"/>
    <n v="55.330409855267348"/>
    <n v="210837600"/>
    <n v="207943350.00000006"/>
    <n v="279414368.09999996"/>
    <n v="239246672.69999999"/>
    <n v="210837600"/>
    <n v="298993050"/>
    <n v="64273"/>
    <n v="132659472"/>
    <n v="130838403.6666667"/>
    <n v="175808122.18199998"/>
    <n v="150534521.72733334"/>
    <n v="132659472"/>
    <n v="188127071"/>
    <x v="0"/>
    <n v="1728"/>
    <n v="0"/>
    <n v="0"/>
    <n v="0"/>
  </r>
  <r>
    <n v="402"/>
    <x v="3"/>
    <s v="P3700036"/>
    <s v="MELANO CC VIT C BRIGHT ESSENCE 20ML"/>
    <x v="2"/>
    <n v="109350"/>
    <n v="2825.3333333333444"/>
    <n v="4173.47"/>
    <n v="3473.49"/>
    <n v="6084"/>
    <n v="505"/>
    <n v="0"/>
    <n v="235"/>
    <n v="3700"/>
    <n v="2115"/>
    <n v="100"/>
    <n v="60"/>
    <n v="6824"/>
    <n v="58.937840615634428"/>
    <n v="596.45000000000073"/>
    <n v="0"/>
    <n v="208.75750000000025"/>
    <n v="200"/>
    <n v="56.575922199286602"/>
    <n v="21870000"/>
    <n v="308950200.00000119"/>
    <n v="456368944.5"/>
    <n v="379826131.5"/>
    <n v="404595000"/>
    <n v="746204400"/>
    <n v="68803"/>
    <n v="13760600"/>
    <n v="194391409.33333409"/>
    <n v="287147256.41000003"/>
    <n v="238986532.47"/>
    <n v="254571100"/>
    <n v="469511672"/>
    <x v="0"/>
    <n v="200"/>
    <n v="0"/>
    <n v="0"/>
    <n v="0"/>
  </r>
  <r>
    <n v="403"/>
    <x v="3"/>
    <s v="P3700042"/>
    <s v="LIP ICE REP &amp; TREAT LIP BALM POUCH"/>
    <x v="1"/>
    <n v="32850"/>
    <n v="442.99999999999955"/>
    <n v="704.60299999999984"/>
    <n v="527.20099999999991"/>
    <n v="1199"/>
    <n v="264"/>
    <n v="0"/>
    <n v="0"/>
    <n v="288"/>
    <n v="360"/>
    <n v="72"/>
    <n v="60"/>
    <n v="1463"/>
    <n v="83.25098017644126"/>
    <n v="8.0049999999996544"/>
    <n v="72"/>
    <n v="0"/>
    <n v="0"/>
    <n v="59.544481137175403"/>
    <n v="0"/>
    <n v="14552549.999999985"/>
    <n v="23146208.549999993"/>
    <n v="17318552.849999998"/>
    <n v="9460800"/>
    <n v="48059550"/>
    <n v="20669"/>
    <n v="0"/>
    <n v="9156366.9999999907"/>
    <n v="14563439.406999996"/>
    <n v="10896717.468999999"/>
    <n v="5952672"/>
    <n v="30238747"/>
    <x v="0"/>
    <n v="-72"/>
    <n v="0"/>
    <n v="0"/>
    <n v="0"/>
  </r>
  <r>
    <n v="404"/>
    <x v="3"/>
    <s v="P3700043"/>
    <s v="LIP ICE REP &amp; TREAT LIP GEL POUCH"/>
    <x v="1"/>
    <n v="35550"/>
    <n v="157.6666666666668"/>
    <n v="350.65999999999997"/>
    <n v="236.55333333333334"/>
    <n v="1352"/>
    <n v="0"/>
    <n v="0"/>
    <n v="0"/>
    <n v="0"/>
    <n v="144"/>
    <n v="72"/>
    <n v="60"/>
    <n v="1352"/>
    <n v="171.46239044049261"/>
    <n v="0"/>
    <n v="144"/>
    <n v="0"/>
    <n v="0"/>
    <n v="126.99123523941043"/>
    <n v="0"/>
    <n v="5605050.0000000047"/>
    <n v="12465962.999999998"/>
    <n v="8409471"/>
    <n v="0"/>
    <n v="48063600"/>
    <n v="22368"/>
    <n v="0"/>
    <n v="3526688.0000000028"/>
    <n v="7843562.879999999"/>
    <n v="5291224.96"/>
    <n v="0"/>
    <n v="30241536"/>
    <x v="0"/>
    <n v="-144"/>
    <n v="0"/>
    <n v="0"/>
    <n v="0"/>
  </r>
  <r>
    <n v="405"/>
    <x v="3"/>
    <s v="P3700044"/>
    <s v="ACNES NAT OIL CTRL&amp;WHT CR POUCH 40G"/>
    <x v="2"/>
    <n v="35550"/>
    <n v="3359.333333333338"/>
    <n v="4133.6950000000006"/>
    <n v="3531.2316666666675"/>
    <n v="6090"/>
    <n v="360"/>
    <n v="180"/>
    <n v="1560"/>
    <n v="3480"/>
    <n v="1260"/>
    <n v="60"/>
    <n v="60"/>
    <n v="8010"/>
    <n v="68.049910819595979"/>
    <n v="0"/>
    <n v="0"/>
    <n v="0"/>
    <n v="0"/>
    <n v="62.496366942790011"/>
    <n v="0"/>
    <n v="119424300.00000016"/>
    <n v="146952857.25000003"/>
    <n v="125535285.75000003"/>
    <n v="123714000"/>
    <n v="284755500"/>
    <n v="22368"/>
    <n v="0"/>
    <n v="75141568.000000104"/>
    <n v="92462489.76000002"/>
    <n v="78986589.920000017"/>
    <n v="77840640"/>
    <n v="179167680"/>
    <x v="0"/>
    <n v="0"/>
    <n v="0"/>
    <n v="0"/>
    <n v="0"/>
  </r>
  <r>
    <n v="406"/>
    <x v="3"/>
    <s v="P3700045"/>
    <s v="LIP ICE SERUM OCEAN GLOW 1,8 GR"/>
    <x v="2"/>
    <n v="35550"/>
    <n v="1208.9999999999995"/>
    <n v="2162.0100000000002"/>
    <n v="1299.0033333333336"/>
    <n v="7202"/>
    <n v="0"/>
    <n v="0"/>
    <n v="936"/>
    <n v="0"/>
    <n v="0"/>
    <n v="72"/>
    <n v="60"/>
    <n v="8138"/>
    <n v="187.94409046935982"/>
    <n v="0"/>
    <n v="0"/>
    <n v="0"/>
    <n v="0"/>
    <n v="138.01327171344181"/>
    <n v="0"/>
    <n v="42979949.999999985"/>
    <n v="76859455.500000015"/>
    <n v="46179568.500000007"/>
    <n v="0"/>
    <n v="289305900"/>
    <n v="22368"/>
    <n v="0"/>
    <n v="27042911.999999989"/>
    <n v="48359839.680000007"/>
    <n v="29056106.560000006"/>
    <n v="0"/>
    <n v="182030784"/>
    <x v="0"/>
    <n v="0"/>
    <n v="0"/>
    <n v="0"/>
    <n v="0"/>
  </r>
  <r>
    <n v="407"/>
    <x v="3"/>
    <s v="P3700046"/>
    <s v="LIP ICE SERUM VIOLET GLOW 1,8 GR"/>
    <x v="2"/>
    <n v="35550"/>
    <n v="1798.3333333333499"/>
    <n v="2615.67"/>
    <n v="1734.8899999999999"/>
    <n v="8804"/>
    <n v="72"/>
    <n v="0"/>
    <n v="72"/>
    <n v="0"/>
    <n v="432"/>
    <n v="72"/>
    <n v="60"/>
    <n v="8948"/>
    <n v="154.73027108346926"/>
    <n v="0"/>
    <n v="360"/>
    <n v="0"/>
    <n v="0"/>
    <n v="109.49968009499162"/>
    <n v="0"/>
    <n v="63930750.000000589"/>
    <n v="92987068.5"/>
    <n v="61675339.499999993"/>
    <n v="0"/>
    <n v="318101400"/>
    <n v="22368"/>
    <n v="0"/>
    <n v="40225120.000000373"/>
    <n v="58507306.560000002"/>
    <n v="38806019.519999996"/>
    <n v="0"/>
    <n v="200148864"/>
    <x v="0"/>
    <n v="-360"/>
    <n v="360"/>
    <n v="360"/>
    <n v="432"/>
  </r>
  <r>
    <n v="408"/>
    <x v="3"/>
    <s v="P3700047"/>
    <s v="LIP ICE SERUM PURE GLOW 1,8 GR"/>
    <x v="2"/>
    <n v="35550"/>
    <n v="1094.3333333333269"/>
    <n v="1974.33"/>
    <n v="1181.1099999999999"/>
    <n v="7049"/>
    <n v="72"/>
    <n v="0"/>
    <n v="936"/>
    <n v="0"/>
    <n v="72"/>
    <n v="72"/>
    <n v="60"/>
    <n v="8057"/>
    <n v="204.64647661945119"/>
    <n v="0"/>
    <n v="0"/>
    <n v="0"/>
    <n v="0"/>
    <n v="154.49881890763774"/>
    <n v="0"/>
    <n v="38903549.999999769"/>
    <n v="70187431.5"/>
    <n v="41988460.5"/>
    <n v="0"/>
    <n v="286426350"/>
    <n v="22368"/>
    <n v="0"/>
    <n v="24478047.999999855"/>
    <n v="44161813.439999998"/>
    <n v="26419068.479999997"/>
    <n v="0"/>
    <n v="180218976"/>
    <x v="0"/>
    <n v="0"/>
    <n v="0"/>
    <n v="0"/>
    <n v="0"/>
  </r>
  <r>
    <n v="409"/>
    <x v="3"/>
    <s v="P3700048"/>
    <s v="SKIN AQUA TONE UP ROSE 40 GR"/>
    <x v="2"/>
    <n v="69300"/>
    <n v="2347.6666666666752"/>
    <n v="2781.8015"/>
    <n v="2295.6004999999996"/>
    <n v="2932"/>
    <n v="180"/>
    <n v="30"/>
    <n v="1944"/>
    <n v="648"/>
    <n v="1872"/>
    <n v="36"/>
    <n v="60"/>
    <n v="5056"/>
    <n v="66.074214568257872"/>
    <n v="1669.0024999999987"/>
    <n v="0"/>
    <n v="584.15087499999947"/>
    <n v="576"/>
    <n v="45.716123079778043"/>
    <n v="39916800"/>
    <n v="162693300.0000006"/>
    <n v="192778843.94999999"/>
    <n v="159085114.64999998"/>
    <n v="44906400"/>
    <n v="350380800"/>
    <n v="43604"/>
    <n v="25115904"/>
    <n v="102367657.3333337"/>
    <n v="121297672.60600001"/>
    <n v="100097364.20199998"/>
    <n v="28255392"/>
    <n v="220461824"/>
    <x v="0"/>
    <n v="576"/>
    <n v="0"/>
    <n v="0"/>
    <n v="0"/>
  </r>
  <r>
    <n v="410"/>
    <x v="3"/>
    <s v="P3700049"/>
    <s v="SKIN AQUA TONE UP LATTE BEIGE 40 GR"/>
    <x v="2"/>
    <n v="69300"/>
    <n v="2166.3333333333276"/>
    <n v="2518.1999999999998"/>
    <n v="2584.4"/>
    <n v="2467"/>
    <n v="144"/>
    <n v="36"/>
    <n v="63"/>
    <n v="2628"/>
    <n v="2088"/>
    <n v="36"/>
    <n v="60"/>
    <n v="2674"/>
    <n v="31.04008667388949"/>
    <n v="2385"/>
    <n v="0"/>
    <n v="834.75"/>
    <n v="828"/>
    <n v="41.926172419130168"/>
    <n v="57380400"/>
    <n v="150126899.99999961"/>
    <n v="174511260"/>
    <n v="179098920"/>
    <n v="182120400"/>
    <n v="185308200"/>
    <n v="43604"/>
    <n v="36104112"/>
    <n v="94460798.666666418"/>
    <n v="109803592.8"/>
    <n v="112690177.60000001"/>
    <n v="114591312"/>
    <n v="116597096"/>
    <x v="0"/>
    <n v="828"/>
    <n v="0"/>
    <n v="0"/>
    <n v="0"/>
  </r>
  <r>
    <n v="411"/>
    <x v="3"/>
    <s v="P3700050"/>
    <s v="LIP ICE FRUITY LEMON SPF 50 POUCH"/>
    <x v="2"/>
    <n v="22850"/>
    <n v="1643.333333333343"/>
    <n v="1972.91"/>
    <n v="1880.6366666666663"/>
    <n v="2617"/>
    <n v="288"/>
    <n v="144"/>
    <n v="192"/>
    <n v="1296"/>
    <n v="1368"/>
    <n v="72"/>
    <n v="60"/>
    <n v="3097"/>
    <n v="49.403482154093211"/>
    <n v="1341.1833333333325"/>
    <n v="24"/>
    <n v="1140.0058333333325"/>
    <n v="1152"/>
    <n v="56.982139027386133"/>
    <n v="26323200"/>
    <n v="37550166.666666888"/>
    <n v="45080993.5"/>
    <n v="42972547.833333328"/>
    <n v="29613600"/>
    <n v="70766450"/>
    <n v="14377"/>
    <n v="16562304"/>
    <n v="23626203.333333474"/>
    <n v="28364527.07"/>
    <n v="27037913.356666662"/>
    <n v="18632592"/>
    <n v="44525569"/>
    <x v="0"/>
    <n v="1128"/>
    <n v="0"/>
    <n v="0"/>
    <n v="168"/>
  </r>
  <r>
    <n v="412"/>
    <x v="3"/>
    <s v="P3700051"/>
    <s v="LIP ICE FRUITY APPLE SPF 50 POUCH"/>
    <x v="2"/>
    <n v="22850"/>
    <n v="2019.3333333333346"/>
    <n v="2294.6010000000001"/>
    <n v="2038.5336666666665"/>
    <n v="2949"/>
    <n v="1080"/>
    <n v="288"/>
    <n v="792"/>
    <n v="0"/>
    <n v="864"/>
    <n v="72"/>
    <n v="60"/>
    <n v="4821"/>
    <n v="70.948055636723197"/>
    <n v="1550.6683333333331"/>
    <n v="360"/>
    <n v="1318.0680833333331"/>
    <n v="1296"/>
    <n v="56.252183554813342"/>
    <n v="29613600"/>
    <n v="46141766.666666694"/>
    <n v="52431632.850000001"/>
    <n v="46580494.283333331"/>
    <n v="0"/>
    <n v="110159850"/>
    <n v="14377"/>
    <n v="18632592"/>
    <n v="29031955.333333351"/>
    <n v="32989478.577000003"/>
    <n v="29307998.525666665"/>
    <n v="0"/>
    <n v="69311517"/>
    <x v="0"/>
    <n v="936"/>
    <n v="0"/>
    <n v="0"/>
    <n v="216"/>
  </r>
  <r>
    <n v="413"/>
    <x v="3"/>
    <s v="P3700052"/>
    <s v="LIP ICE FRUITY CHERRY SPF 50 POUCH"/>
    <x v="2"/>
    <n v="22850"/>
    <n v="4373.6666666666524"/>
    <n v="4662.2650000000003"/>
    <n v="4390.088333333335"/>
    <n v="6184"/>
    <n v="1080"/>
    <n v="144"/>
    <n v="216"/>
    <n v="3744"/>
    <n v="1656"/>
    <n v="72"/>
    <n v="60"/>
    <n v="7480"/>
    <n v="51.11514460794826"/>
    <n v="2218.4416666666693"/>
    <n v="0"/>
    <n v="776.4545833333342"/>
    <n v="792"/>
    <n v="50.252303199669839"/>
    <n v="18097200"/>
    <n v="99938283.333333001"/>
    <n v="106532755.25000001"/>
    <n v="100313518.4166667"/>
    <n v="85550400"/>
    <n v="170918000"/>
    <n v="14377"/>
    <n v="11386584"/>
    <n v="62880205.666666463"/>
    <n v="67029383.905000001"/>
    <n v="63116299.968333356"/>
    <n v="53827488"/>
    <n v="107539960"/>
    <x v="0"/>
    <n v="792"/>
    <n v="0"/>
    <n v="0"/>
    <n v="0"/>
  </r>
  <r>
    <n v="414"/>
    <x v="3"/>
    <s v="P3700053"/>
    <s v="LIPICE FRUITY STWBERRY SPF 50 POUCH"/>
    <x v="2"/>
    <n v="22850"/>
    <n v="7654.333333333293"/>
    <n v="8143.2749999999996"/>
    <n v="7792.7583333333323"/>
    <n v="10386"/>
    <n v="1080"/>
    <n v="648"/>
    <n v="72"/>
    <n v="9360"/>
    <n v="3888"/>
    <n v="72"/>
    <n v="60"/>
    <n v="11538"/>
    <n v="44.418161733489754"/>
    <n v="2830.7916666666642"/>
    <n v="0"/>
    <n v="990.77708333333237"/>
    <n v="1008"/>
    <n v="52.982747871688574"/>
    <n v="23032800"/>
    <n v="174901516.66666573"/>
    <n v="186073833.75"/>
    <n v="178064527.91666666"/>
    <n v="213876000"/>
    <n v="263643300"/>
    <n v="14377"/>
    <n v="14492016"/>
    <n v="110046350.33333275"/>
    <n v="117075864.675"/>
    <n v="112036486.55833332"/>
    <n v="134568720"/>
    <n v="165881826"/>
    <x v="0"/>
    <n v="1008"/>
    <n v="0"/>
    <n v="0"/>
    <n v="0"/>
  </r>
  <r>
    <n v="415"/>
    <x v="3"/>
    <s v="P3700054"/>
    <s v="LIP ICE SPORT SS 4.6 GR POUCH"/>
    <x v="2"/>
    <n v="36450"/>
    <n v="8257.6666666666515"/>
    <n v="9161.02"/>
    <n v="8656.0066666666662"/>
    <n v="13541"/>
    <n v="1080"/>
    <n v="648"/>
    <n v="0"/>
    <n v="9936"/>
    <n v="5544"/>
    <n v="72"/>
    <n v="60"/>
    <n v="14621"/>
    <n v="50.673482229295885"/>
    <n v="1916.0333333333328"/>
    <n v="0"/>
    <n v="670.61166666666645"/>
    <n v="648"/>
    <n v="55.605248301564771"/>
    <n v="23619600"/>
    <n v="300991949.99999946"/>
    <n v="333919179"/>
    <n v="315511443"/>
    <n v="362167200"/>
    <n v="532935450"/>
    <n v="22934"/>
    <n v="14861232"/>
    <n v="189381327.33333299"/>
    <n v="210098832.68000001"/>
    <n v="198516856.89333332"/>
    <n v="227872224"/>
    <n v="335318014"/>
    <x v="0"/>
    <n v="648"/>
    <n v="0"/>
    <n v="0"/>
    <n v="0"/>
  </r>
  <r>
    <n v="416"/>
    <x v="3"/>
    <s v="P3700055"/>
    <s v="LIP ICE SC ORIGN NATURAL 2.2G POUCH"/>
    <x v="2"/>
    <n v="26550"/>
    <n v="14782.666666666719"/>
    <n v="15541.557999999999"/>
    <n v="14360.51933333333"/>
    <n v="23515"/>
    <n v="2160"/>
    <n v="1296"/>
    <n v="2776"/>
    <n v="15192"/>
    <n v="2592"/>
    <n v="72"/>
    <n v="60"/>
    <n v="28451"/>
    <n v="59.435872769503845"/>
    <n v="619.59666666665726"/>
    <n v="0"/>
    <n v="216.85883333333004"/>
    <n v="216"/>
    <n v="59.156861968640982"/>
    <n v="5734800"/>
    <n v="392479800.00000137"/>
    <n v="412628364.89999998"/>
    <n v="381271788.29999989"/>
    <n v="403347600"/>
    <n v="755374050"/>
    <n v="16705"/>
    <n v="3608280"/>
    <n v="246944446.66666755"/>
    <n v="259621726.38999999"/>
    <n v="239892475.46333328"/>
    <n v="253782360"/>
    <n v="475273955"/>
    <x v="0"/>
    <n v="216"/>
    <n v="0"/>
    <n v="0"/>
    <n v="0"/>
  </r>
  <r>
    <n v="417"/>
    <x v="3"/>
    <s v="P3700056"/>
    <s v="LIP ICE SC APPLE 2.2G POUCH"/>
    <x v="2"/>
    <n v="26550"/>
    <n v="6156.6666666666661"/>
    <n v="5061.13"/>
    <n v="5504.0433333333331"/>
    <n v="5858"/>
    <n v="1296"/>
    <n v="288"/>
    <n v="415"/>
    <n v="1368"/>
    <n v="3096"/>
    <n v="72"/>
    <n v="60"/>
    <n v="7569"/>
    <n v="41.255125777231648"/>
    <n v="7132.2166666666672"/>
    <n v="1601"/>
    <n v="6062.3841666666667"/>
    <n v="6048"/>
    <n v="54.090435334508626"/>
    <n v="160574400"/>
    <n v="163459499.99999997"/>
    <n v="134373001.5"/>
    <n v="146132350.5"/>
    <n v="36320400"/>
    <n v="200956950"/>
    <n v="16705"/>
    <n v="101031840"/>
    <n v="102847116.66666666"/>
    <n v="84546176.650000006"/>
    <n v="91945043.883333325"/>
    <n v="22852440"/>
    <n v="126440145"/>
    <x v="0"/>
    <n v="4447"/>
    <n v="233"/>
    <n v="809"/>
    <n v="1817"/>
  </r>
  <r>
    <n v="418"/>
    <x v="3"/>
    <s v="P3700057"/>
    <s v="LIP ICE SC STRAWBERRY 2.2G POUCH"/>
    <x v="3"/>
    <n v="26550"/>
    <n v="73136.000000000073"/>
    <n v="83535.67"/>
    <n v="78712.223333333357"/>
    <n v="114437"/>
    <n v="11088"/>
    <n v="6408"/>
    <n v="34254"/>
    <n v="119232"/>
    <n v="18648"/>
    <n v="72"/>
    <n v="60"/>
    <n v="159779"/>
    <n v="60.897403186044741"/>
    <n v="0"/>
    <n v="0"/>
    <n v="0"/>
    <n v="0"/>
    <n v="74.502531521258405"/>
    <n v="0"/>
    <n v="1941760800.0000019"/>
    <n v="2217872038.5"/>
    <n v="2089809529.5000007"/>
    <n v="3165609600"/>
    <n v="4242132450"/>
    <n v="16705"/>
    <n v="0"/>
    <n v="1221736880.0000012"/>
    <n v="1395463367.3499999"/>
    <n v="1314887690.7833338"/>
    <n v="1991770560"/>
    <n v="2669108195"/>
    <x v="0"/>
    <n v="0"/>
    <n v="0"/>
    <n v="0"/>
    <n v="0"/>
  </r>
  <r>
    <n v="419"/>
    <x v="3"/>
    <s v="P3700058"/>
    <s v="LIP ICE SC CHERRY 2.2G POUCH"/>
    <x v="2"/>
    <n v="26550"/>
    <n v="6901.9999999999991"/>
    <n v="5927.17"/>
    <n v="5996.7233333333334"/>
    <n v="8195"/>
    <n v="1296"/>
    <n v="432"/>
    <n v="0"/>
    <n v="4392"/>
    <n v="4176"/>
    <n v="72"/>
    <n v="60"/>
    <n v="9491"/>
    <n v="47.480929863364267"/>
    <n v="4037.6166666666686"/>
    <n v="216"/>
    <n v="3431.9741666666682"/>
    <n v="3456"/>
    <n v="57.090327662273339"/>
    <n v="91756800"/>
    <n v="183248099.99999997"/>
    <n v="157366363.5"/>
    <n v="159213004.5"/>
    <n v="116607600"/>
    <n v="251986050"/>
    <n v="16705"/>
    <n v="57732480"/>
    <n v="115297909.99999999"/>
    <n v="99013374.849999994"/>
    <n v="100175263.28333333"/>
    <n v="73368360"/>
    <n v="158547155"/>
    <x v="0"/>
    <n v="3240"/>
    <n v="0"/>
    <n v="0"/>
    <n v="0"/>
  </r>
  <r>
    <n v="420"/>
    <x v="3"/>
    <s v="P3700059"/>
    <s v="LIP ICE SC MIXBERRIES 2.2G POUCH"/>
    <x v="2"/>
    <n v="26550"/>
    <n v="6854.6666666667061"/>
    <n v="7167.88"/>
    <n v="6585.6266666666697"/>
    <n v="11404"/>
    <n v="1296"/>
    <n v="1008"/>
    <n v="840"/>
    <n v="7632"/>
    <n v="936"/>
    <n v="72"/>
    <n v="60"/>
    <n v="13540"/>
    <n v="61.67977939836652"/>
    <n v="0"/>
    <n v="0"/>
    <n v="0"/>
    <n v="0"/>
    <n v="63.794020108438133"/>
    <n v="0"/>
    <n v="181991400.00000104"/>
    <n v="190307214"/>
    <n v="174848388.00000009"/>
    <n v="202629600"/>
    <n v="359487000"/>
    <n v="16705"/>
    <n v="0"/>
    <n v="114507206.66666733"/>
    <n v="119739435.40000001"/>
    <n v="110012893.46666671"/>
    <n v="127492560"/>
    <n v="226185700"/>
    <x v="0"/>
    <n v="0"/>
    <n v="0"/>
    <n v="0"/>
    <n v="0"/>
  </r>
  <r>
    <n v="421"/>
    <x v="3"/>
    <s v="P3700060"/>
    <s v="KHALISA ESS MOIST OASIS POUCH 30GR"/>
    <x v="2"/>
    <n v="54540"/>
    <n v="145.6666666666668"/>
    <n v="335.20499999999998"/>
    <n v="162.73500000000001"/>
    <n v="1378"/>
    <n v="24"/>
    <n v="72"/>
    <n v="168"/>
    <n v="0"/>
    <n v="96"/>
    <n v="24"/>
    <n v="60"/>
    <n v="1570"/>
    <n v="289.42759701354964"/>
    <n v="0"/>
    <n v="0"/>
    <n v="0"/>
    <n v="0"/>
    <n v="227.63296156327772"/>
    <n v="0"/>
    <n v="7944660.0000000075"/>
    <n v="18282080.699999999"/>
    <n v="8875566.9000000004"/>
    <n v="0"/>
    <n v="85627800"/>
    <n v="34317"/>
    <n v="0"/>
    <n v="4998843.0000000047"/>
    <n v="11503229.984999999"/>
    <n v="5584576.9950000001"/>
    <n v="0"/>
    <n v="53877690"/>
    <x v="0"/>
    <n v="0"/>
    <n v="0"/>
    <n v="0"/>
    <n v="0"/>
  </r>
  <r>
    <n v="422"/>
    <x v="3"/>
    <s v="P3700061"/>
    <s v="LIP ICE BUTTER MATCHA POUCH"/>
    <x v="2"/>
    <n v="29250"/>
    <n v="794.33333333333371"/>
    <n v="1087.33"/>
    <n v="923.77666666666653"/>
    <n v="1919"/>
    <n v="72"/>
    <n v="0"/>
    <n v="48"/>
    <n v="216"/>
    <n v="504"/>
    <n v="72"/>
    <n v="60"/>
    <n v="2039"/>
    <n v="66.217303605128237"/>
    <n v="679.88333333333321"/>
    <n v="240"/>
    <n v="679.88333333333321"/>
    <n v="648"/>
    <n v="58.964576575146239"/>
    <n v="18954000"/>
    <n v="23234250.000000011"/>
    <n v="31804402.499999996"/>
    <n v="27020467.499999996"/>
    <n v="6318000"/>
    <n v="59640750"/>
    <n v="18404"/>
    <n v="11925792"/>
    <n v="14618910.666666673"/>
    <n v="20011221.32"/>
    <n v="17001185.77333333"/>
    <n v="3975264"/>
    <n v="37525756"/>
    <x v="0"/>
    <n v="408"/>
    <n v="240"/>
    <n v="312"/>
    <n v="384"/>
  </r>
  <r>
    <n v="423"/>
    <x v="3"/>
    <s v="P3700062"/>
    <s v="SKIN AQUA TONEUP+LISCN BANDED"/>
    <x v="2"/>
    <n v="70650"/>
    <n v="48.666666666666742"/>
    <n v="0"/>
    <n v="27.666666666666668"/>
    <n v="1757"/>
    <n v="0"/>
    <n v="0"/>
    <n v="0"/>
    <n v="0"/>
    <n v="0"/>
    <n v="36"/>
    <n v="60"/>
    <n v="1757"/>
    <n v="1905.1807228915661"/>
    <n v="0"/>
    <n v="0"/>
    <n v="0"/>
    <n v="0"/>
    <n v="1905.1807228915661"/>
    <n v="0"/>
    <n v="3438300.0000000051"/>
    <n v="0"/>
    <n v="1954650"/>
    <n v="0"/>
    <n v="124132050"/>
    <n v="44453"/>
    <n v="0"/>
    <n v="2163379.3333333367"/>
    <n v="0"/>
    <n v="1229866.3333333335"/>
    <n v="0"/>
    <n v="78103921"/>
    <x v="0"/>
    <n v="0"/>
    <n v="0"/>
    <n v="0"/>
    <n v="0"/>
  </r>
  <r>
    <n v="424"/>
    <x v="3"/>
    <s v="P3700063"/>
    <s v="SKIN AQUA TONEUP MINT+LISCN BANDED"/>
    <x v="2"/>
    <n v="70650"/>
    <n v="51.000000000000043"/>
    <n v="0"/>
    <n v="21.000000000000004"/>
    <n v="909"/>
    <n v="0"/>
    <n v="36"/>
    <n v="0"/>
    <n v="0"/>
    <n v="0"/>
    <n v="36"/>
    <n v="60"/>
    <n v="909"/>
    <n v="1298.5714285714284"/>
    <n v="0"/>
    <n v="36"/>
    <n v="0"/>
    <n v="0"/>
    <n v="1298.5714285714284"/>
    <n v="0"/>
    <n v="3603150.0000000028"/>
    <n v="0"/>
    <n v="1483650.0000000002"/>
    <n v="0"/>
    <n v="64220850"/>
    <n v="44453"/>
    <n v="0"/>
    <n v="2267103.0000000019"/>
    <n v="0"/>
    <n v="933513.00000000012"/>
    <n v="0"/>
    <n v="40407777"/>
    <x v="0"/>
    <n v="-36"/>
    <n v="0"/>
    <n v="0"/>
    <n v="0"/>
  </r>
  <r>
    <n v="425"/>
    <x v="3"/>
    <s v="P3700064"/>
    <s v="SKIN AQUA TONEUP ROSE+LISCN BANDED"/>
    <x v="2"/>
    <n v="69300"/>
    <n v="25.333333333333343"/>
    <n v="0"/>
    <n v="0.66666666666666674"/>
    <n v="125"/>
    <n v="0"/>
    <n v="0"/>
    <n v="0"/>
    <n v="0"/>
    <n v="0"/>
    <n v="36"/>
    <n v="60"/>
    <n v="125"/>
    <n v="5624.9999999999991"/>
    <n v="0"/>
    <n v="0"/>
    <n v="0"/>
    <n v="0"/>
    <n v="5624.9999999999991"/>
    <n v="0"/>
    <n v="1755600.0000000007"/>
    <n v="0"/>
    <n v="46200.000000000007"/>
    <n v="0"/>
    <n v="8662500"/>
    <n v="43604"/>
    <n v="0"/>
    <n v="1104634.666666667"/>
    <n v="0"/>
    <n v="29069.333333333336"/>
    <n v="0"/>
    <n v="5450500"/>
    <x v="0"/>
    <n v="0"/>
    <n v="0"/>
    <n v="0"/>
    <n v="0"/>
  </r>
  <r>
    <n v="426"/>
    <x v="3"/>
    <s v="P3700065"/>
    <s v="SKIN AQUA TONEUP LATTE+LISCN BANDED"/>
    <x v="2"/>
    <n v="69300"/>
    <n v="50.333333333333329"/>
    <n v="0"/>
    <n v="34.333333333333336"/>
    <n v="257"/>
    <n v="0"/>
    <n v="0"/>
    <n v="36"/>
    <n v="0"/>
    <n v="0"/>
    <n v="36"/>
    <n v="60"/>
    <n v="293"/>
    <n v="256.01941747572818"/>
    <n v="0"/>
    <n v="0"/>
    <n v="0"/>
    <n v="0"/>
    <n v="256.01941747572818"/>
    <n v="0"/>
    <n v="3488099.9999999995"/>
    <n v="0"/>
    <n v="2379300"/>
    <n v="0"/>
    <n v="20304900"/>
    <n v="43604"/>
    <n v="0"/>
    <n v="2194734.6666666665"/>
    <n v="0"/>
    <n v="1497070.6666666667"/>
    <n v="0"/>
    <n v="12775972"/>
    <x v="0"/>
    <n v="0"/>
    <n v="0"/>
    <n v="0"/>
    <n v="0"/>
  </r>
  <r>
    <n v="427"/>
    <x v="3"/>
    <s v="P3700066"/>
    <s v="ACNES DERMA GENTLE MINERAL SS 30GR"/>
    <x v="2"/>
    <n v="73350"/>
    <n v="357.66666666666742"/>
    <n v="508.61349999999999"/>
    <n v="394.53783333333331"/>
    <n v="2272"/>
    <n v="90"/>
    <n v="54"/>
    <n v="522"/>
    <n v="0"/>
    <n v="162"/>
    <n v="18"/>
    <n v="60"/>
    <n v="2884"/>
    <n v="219.29455857000619"/>
    <n v="0"/>
    <n v="0"/>
    <n v="0"/>
    <n v="0"/>
    <n v="180.62043479564909"/>
    <n v="0"/>
    <n v="26234850.000000056"/>
    <n v="37306800.225000001"/>
    <n v="28939350.074999999"/>
    <n v="0"/>
    <n v="211541400"/>
    <n v="46152"/>
    <n v="0"/>
    <n v="16507032.000000035"/>
    <n v="23473530.252"/>
    <n v="18208710.083999999"/>
    <n v="0"/>
    <n v="133102368"/>
    <x v="0"/>
    <n v="0"/>
    <n v="0"/>
    <n v="0"/>
    <n v="0"/>
  </r>
  <r>
    <n v="428"/>
    <x v="3"/>
    <s v="P3700067"/>
    <s v="ANC GEL SUNSCREEN POUCH 30GR"/>
    <x v="2"/>
    <n v="42300"/>
    <n v="1001.666666666672"/>
    <n v="1280.5594999999998"/>
    <n v="1119.8531666666665"/>
    <n v="1535"/>
    <n v="360"/>
    <n v="180"/>
    <n v="216"/>
    <n v="0"/>
    <n v="900"/>
    <n v="60"/>
    <n v="60"/>
    <n v="2111"/>
    <n v="56.552056899126214"/>
    <n v="1409.2658333333329"/>
    <n v="864"/>
    <n v="1409.2658333333329"/>
    <n v="1380"/>
    <n v="59.215990965482241"/>
    <n v="58374000"/>
    <n v="42370500.000000224"/>
    <n v="54167666.849999994"/>
    <n v="47369788.949999996"/>
    <n v="0"/>
    <n v="89295300"/>
    <n v="26615"/>
    <n v="36728700"/>
    <n v="26659358.333333474"/>
    <n v="34082091.092499994"/>
    <n v="29804892.03083333"/>
    <n v="0"/>
    <n v="56184265"/>
    <x v="0"/>
    <n v="516"/>
    <n v="504"/>
    <n v="624"/>
    <n v="804"/>
  </r>
  <r>
    <n v="429"/>
    <x v="3"/>
    <s v="P3700068"/>
    <s v="KHALISA UV OASIS + LISCN BANDED"/>
    <x v="2"/>
    <n v="50040"/>
    <n v="38.6666666666667"/>
    <n v="0"/>
    <n v="26.666666666666668"/>
    <n v="249"/>
    <n v="0"/>
    <n v="0"/>
    <n v="0"/>
    <n v="0"/>
    <n v="60"/>
    <n v="60"/>
    <n v="60"/>
    <n v="249"/>
    <n v="280.125"/>
    <n v="0"/>
    <n v="60"/>
    <n v="0"/>
    <n v="0"/>
    <n v="280.125"/>
    <n v="0"/>
    <n v="1934880.0000000016"/>
    <n v="0"/>
    <n v="1334400"/>
    <n v="0"/>
    <n v="12459960"/>
    <n v="31485"/>
    <n v="0"/>
    <n v="1217420.0000000009"/>
    <n v="0"/>
    <n v="839600"/>
    <n v="0"/>
    <n v="7839765"/>
    <x v="0"/>
    <n v="-60"/>
    <n v="0"/>
    <n v="0"/>
    <n v="0"/>
  </r>
  <r>
    <n v="430"/>
    <x v="3"/>
    <s v="P3700069"/>
    <s v="KHALISA UV PNK BLUSH + LISCN BANDED"/>
    <x v="2"/>
    <n v="50040"/>
    <n v="285.33333333333667"/>
    <n v="0"/>
    <n v="270.66666666666669"/>
    <n v="937"/>
    <n v="0"/>
    <n v="0"/>
    <n v="0"/>
    <n v="0"/>
    <n v="0"/>
    <n v="60"/>
    <n v="60"/>
    <n v="937"/>
    <n v="103.85467980295566"/>
    <n v="0"/>
    <n v="0"/>
    <n v="0"/>
    <n v="0"/>
    <n v="103.85467980295566"/>
    <n v="0"/>
    <n v="14278080.000000168"/>
    <n v="0"/>
    <n v="13544160.000000002"/>
    <n v="0"/>
    <n v="46887480"/>
    <n v="31485"/>
    <n v="0"/>
    <n v="8983720.0000001043"/>
    <n v="0"/>
    <n v="8521940"/>
    <n v="0"/>
    <n v="29501445"/>
    <x v="0"/>
    <n v="0"/>
    <n v="0"/>
    <n v="0"/>
    <n v="0"/>
  </r>
  <r>
    <n v="431"/>
    <x v="3"/>
    <s v="P3700070"/>
    <s v="KHALISA GEL SS + LISCN BANDED"/>
    <x v="2"/>
    <n v="50040"/>
    <n v="180.333333333333"/>
    <n v="0"/>
    <n v="133.33333333333334"/>
    <n v="1189"/>
    <n v="60"/>
    <n v="0"/>
    <n v="521"/>
    <n v="0"/>
    <n v="0"/>
    <n v="60"/>
    <n v="60"/>
    <n v="1770"/>
    <n v="398.24999999999994"/>
    <n v="0"/>
    <n v="0"/>
    <n v="0"/>
    <n v="0"/>
    <n v="398.24999999999994"/>
    <n v="0"/>
    <n v="9023879.9999999832"/>
    <n v="0"/>
    <n v="6672000.0000000009"/>
    <n v="0"/>
    <n v="88570800"/>
    <n v="31485"/>
    <n v="0"/>
    <n v="5677794.9999999898"/>
    <n v="0"/>
    <n v="4198000"/>
    <n v="0"/>
    <n v="55728450"/>
    <x v="0"/>
    <n v="0"/>
    <n v="0"/>
    <n v="0"/>
    <n v="0"/>
  </r>
  <r>
    <n v="432"/>
    <x v="3"/>
    <s v="P3700071"/>
    <s v="SKIN AQUA UV SS SRM 20ML"/>
    <x v="2"/>
    <n v="92700"/>
    <n v="333.00000000000068"/>
    <n v="746.89299999999992"/>
    <n v="414.29766666666666"/>
    <n v="1892"/>
    <n v="144"/>
    <n v="270"/>
    <n v="0"/>
    <n v="0"/>
    <n v="180"/>
    <n v="18"/>
    <n v="60"/>
    <n v="2036"/>
    <n v="147.43022931177504"/>
    <n v="0"/>
    <n v="450"/>
    <n v="0"/>
    <n v="0"/>
    <n v="93.346434487924554"/>
    <n v="0"/>
    <n v="30869100.000000063"/>
    <n v="69236981.099999994"/>
    <n v="38405393.699999996"/>
    <n v="0"/>
    <n v="188737200"/>
    <n v="58327"/>
    <n v="0"/>
    <n v="19422891.000000041"/>
    <n v="43564028.010999992"/>
    <n v="24164740.003666665"/>
    <n v="0"/>
    <n v="118753772"/>
    <x v="0"/>
    <n v="-450"/>
    <n v="0"/>
    <n v="0"/>
    <n v="0"/>
  </r>
  <r>
    <n v="433"/>
    <x v="3"/>
    <s v="P3700072"/>
    <s v="SKIN AQUA MOIST UV ESS 40GR"/>
    <x v="2"/>
    <n v="76700"/>
    <n v="1447.6666666666538"/>
    <n v="1695.8000000000002"/>
    <n v="1407.9333333333334"/>
    <n v="2729"/>
    <n v="252"/>
    <n v="0"/>
    <n v="0"/>
    <n v="684"/>
    <n v="576"/>
    <n v="36"/>
    <n v="60"/>
    <n v="2981"/>
    <n v="63.518632511009045"/>
    <n v="846.66666666666697"/>
    <n v="0"/>
    <n v="296.33333333333343"/>
    <n v="288"/>
    <n v="48.096027274018653"/>
    <n v="22089600"/>
    <n v="111036033.33333234"/>
    <n v="130067860.00000001"/>
    <n v="107988486.66666667"/>
    <n v="52462800"/>
    <n v="228642700"/>
    <n v="48260"/>
    <n v="13898880"/>
    <n v="69864393.333332717"/>
    <n v="81839308.000000015"/>
    <n v="67946862.666666672"/>
    <n v="33009840"/>
    <n v="143863060"/>
    <x v="0"/>
    <n v="288"/>
    <n v="0"/>
    <n v="0"/>
    <n v="0"/>
  </r>
  <r>
    <n v="434"/>
    <x v="3"/>
    <s v="P3700073"/>
    <s v="LIPICE MATTE CLR SWEET PINK POUCH"/>
    <x v="2"/>
    <n v="40050"/>
    <n v="945.66666666666492"/>
    <n v="1428.37"/>
    <n v="976.45666666666659"/>
    <n v="2492"/>
    <n v="192"/>
    <n v="168"/>
    <n v="295"/>
    <n v="216"/>
    <n v="144"/>
    <n v="72"/>
    <n v="60"/>
    <n v="2979"/>
    <n v="91.524798847533788"/>
    <n v="186.28333333333285"/>
    <n v="0"/>
    <n v="0"/>
    <n v="0"/>
    <n v="54.276755752943473"/>
    <n v="0"/>
    <n v="37873949.999999933"/>
    <n v="57206218.499999993"/>
    <n v="39107089.5"/>
    <n v="8650800"/>
    <n v="119308950"/>
    <n v="25199"/>
    <n v="0"/>
    <n v="23829854.333333291"/>
    <n v="35993495.629999995"/>
    <n v="24605731.543333333"/>
    <n v="5442984"/>
    <n v="75067821"/>
    <x v="0"/>
    <n v="0"/>
    <n v="0"/>
    <n v="0"/>
    <n v="0"/>
  </r>
  <r>
    <n v="435"/>
    <x v="3"/>
    <s v="P3700074"/>
    <s v="LIPICE MATTE CLR SWEET PEACH POUCH"/>
    <x v="2"/>
    <n v="40050"/>
    <n v="243.33333333333229"/>
    <n v="726.3"/>
    <n v="431.76666666666671"/>
    <n v="1673"/>
    <n v="216"/>
    <n v="0"/>
    <n v="36"/>
    <n v="0"/>
    <n v="216"/>
    <n v="72"/>
    <n v="60"/>
    <n v="1925"/>
    <n v="133.75279857947965"/>
    <n v="0"/>
    <n v="180"/>
    <n v="0"/>
    <n v="0"/>
    <n v="83.288041380375205"/>
    <n v="0"/>
    <n v="9745499.999999959"/>
    <n v="29088315"/>
    <n v="17292255"/>
    <n v="0"/>
    <n v="77096250"/>
    <n v="25199"/>
    <n v="0"/>
    <n v="6131756.66666664"/>
    <n v="18302033.699999999"/>
    <n v="10880088.233333334"/>
    <n v="0"/>
    <n v="48508075"/>
    <x v="0"/>
    <n v="-180"/>
    <n v="108"/>
    <n v="108"/>
    <n v="108"/>
  </r>
  <r>
    <n v="436"/>
    <x v="3"/>
    <s v="P3700075"/>
    <s v="MELANO CC VIT C BRIGHT GEL 100 GR"/>
    <x v="2"/>
    <n v="120150"/>
    <n v="1114.0000000000016"/>
    <n v="1661.2670000000001"/>
    <n v="1269.4223333333332"/>
    <n v="2220"/>
    <n v="504"/>
    <n v="126"/>
    <n v="0"/>
    <n v="882"/>
    <n v="924"/>
    <n v="42"/>
    <n v="60"/>
    <n v="2724"/>
    <n v="64.375738360781966"/>
    <n v="594.11166666666668"/>
    <n v="168"/>
    <n v="504.99491666666665"/>
    <n v="504"/>
    <n v="57.870409296407011"/>
    <n v="60555600"/>
    <n v="133847100.00000019"/>
    <n v="199601230.05000001"/>
    <n v="152521093.34999999"/>
    <n v="105972300"/>
    <n v="327288600"/>
    <n v="75598"/>
    <n v="38101392"/>
    <n v="84216172.000000119"/>
    <n v="125588462.66600001"/>
    <n v="95965789.555333316"/>
    <n v="66677436"/>
    <n v="205928952"/>
    <x v="0"/>
    <n v="336"/>
    <n v="0"/>
    <n v="0"/>
    <n v="0"/>
  </r>
  <r>
    <n v="437"/>
    <x v="3"/>
    <s v="P3700076"/>
    <s v="MELANO CC VIT C BRIGHT MOIST 120 ML"/>
    <x v="2"/>
    <n v="95850"/>
    <n v="1571.3333333333296"/>
    <n v="1989.5940000000001"/>
    <n v="1811.1980000000001"/>
    <n v="2435"/>
    <n v="288"/>
    <n v="48"/>
    <n v="336"/>
    <n v="1680"/>
    <n v="1248"/>
    <n v="48"/>
    <n v="60"/>
    <n v="3059"/>
    <n v="50.668121320805341"/>
    <n v="872.98999999999978"/>
    <n v="0"/>
    <n v="305.54649999999992"/>
    <n v="288"/>
    <n v="50.310446455881689"/>
    <n v="27604800"/>
    <n v="150612299.99999964"/>
    <n v="190702584.90000001"/>
    <n v="173603328.30000001"/>
    <n v="161028000"/>
    <n v="293205150"/>
    <n v="60309"/>
    <n v="17368992"/>
    <n v="94765541.999999776"/>
    <n v="119990424.546"/>
    <n v="109231540.18200001"/>
    <n v="101319120"/>
    <n v="184485231"/>
    <x v="0"/>
    <n v="288"/>
    <n v="0"/>
    <n v="0"/>
    <n v="0"/>
  </r>
  <r>
    <n v="438"/>
    <x v="3"/>
    <s v="P3700077"/>
    <s v="SKIN AQUA NEXTA SERUM+LISCN BANDED"/>
    <x v="2"/>
    <n v="72900"/>
    <n v="89"/>
    <n v="0"/>
    <n v="68"/>
    <n v="1692"/>
    <n v="0"/>
    <n v="0"/>
    <n v="0"/>
    <n v="0"/>
    <n v="0"/>
    <n v="36"/>
    <n v="60"/>
    <n v="1692"/>
    <n v="746.47058823529414"/>
    <n v="0"/>
    <n v="0"/>
    <n v="0"/>
    <n v="0"/>
    <n v="746.47058823529414"/>
    <n v="0"/>
    <n v="6488100"/>
    <n v="0"/>
    <n v="4957200"/>
    <n v="0"/>
    <n v="123346800"/>
    <n v="45869"/>
    <n v="0"/>
    <n v="4082341"/>
    <n v="0"/>
    <n v="3119092"/>
    <n v="0"/>
    <n v="77610348"/>
    <x v="0"/>
    <n v="0"/>
    <n v="0"/>
    <n v="0"/>
    <n v="0"/>
  </r>
  <r>
    <n v="439"/>
    <x v="3"/>
    <s v="P3700078"/>
    <s v="KHALISA GEL CLNSR OASIS + SELSUN B5"/>
    <x v="2"/>
    <n v="48240"/>
    <n v="57"/>
    <n v="0"/>
    <n v="27"/>
    <n v="880"/>
    <n v="0"/>
    <n v="0"/>
    <n v="414"/>
    <n v="0"/>
    <n v="0"/>
    <n v="60"/>
    <n v="60"/>
    <n v="1294"/>
    <n v="1437.7777777777778"/>
    <n v="0"/>
    <n v="0"/>
    <n v="0"/>
    <n v="0"/>
    <n v="1437.7777777777778"/>
    <n v="0"/>
    <n v="2749680"/>
    <n v="0"/>
    <n v="1302480"/>
    <n v="0"/>
    <n v="62422560"/>
    <n v="30353"/>
    <n v="0"/>
    <n v="1730121"/>
    <n v="0"/>
    <n v="819531"/>
    <n v="0"/>
    <n v="39276782"/>
    <x v="0"/>
    <n v="0"/>
    <n v="0"/>
    <n v="0"/>
    <n v="0"/>
  </r>
  <r>
    <n v="440"/>
    <x v="3"/>
    <s v="P3700079"/>
    <s v="ROHTO Z! LUBRICANT EYE DROPS 12ML"/>
    <x v="2"/>
    <n v="43200"/>
    <n v="2714.6666666666729"/>
    <n v="3728.9629999999997"/>
    <n v="3268.6543333333334"/>
    <n v="8891"/>
    <n v="0"/>
    <n v="0"/>
    <n v="180"/>
    <n v="300"/>
    <n v="910"/>
    <n v="300"/>
    <n v="60"/>
    <n v="9071"/>
    <n v="83.2544442600895"/>
    <n v="895.27166666666744"/>
    <n v="430"/>
    <n v="671.45375000000058"/>
    <n v="600"/>
    <n v="57.289970398623772"/>
    <n v="25920000"/>
    <n v="117273600.00000027"/>
    <n v="161091201.59999999"/>
    <n v="141205867.19999999"/>
    <n v="12960000"/>
    <n v="391867200"/>
    <n v="35556"/>
    <n v="21333600"/>
    <n v="96522688.000000224"/>
    <n v="132587008.42799999"/>
    <n v="116220273.476"/>
    <n v="10666800"/>
    <n v="322528476"/>
    <x v="0"/>
    <n v="170"/>
    <n v="150"/>
    <n v="150"/>
    <n v="160"/>
  </r>
  <r>
    <n v="441"/>
    <x v="3"/>
    <s v="P3700080"/>
    <s v="ACNES UV MILD MILK NAT COLOR 30 GR"/>
    <x v="2"/>
    <n v="42650"/>
    <n v="330.33333333333394"/>
    <n v="582.73"/>
    <n v="386.57666666666665"/>
    <n v="3698"/>
    <n v="144"/>
    <n v="0"/>
    <n v="288"/>
    <n v="0"/>
    <n v="0"/>
    <n v="144"/>
    <n v="60"/>
    <n v="4130"/>
    <n v="320.50563493226878"/>
    <n v="0"/>
    <n v="0"/>
    <n v="0"/>
    <n v="0"/>
    <n v="275.2832986988351"/>
    <n v="0"/>
    <n v="14088716.666666692"/>
    <n v="24853434.5"/>
    <n v="16487494.833333332"/>
    <n v="0"/>
    <n v="176144500"/>
    <n v="26835"/>
    <n v="0"/>
    <n v="8864495.0000000168"/>
    <n v="15637559.550000001"/>
    <n v="10373784.85"/>
    <n v="0"/>
    <n v="110828550"/>
    <x v="0"/>
    <n v="0"/>
    <n v="0"/>
    <n v="0"/>
    <n v="0"/>
  </r>
  <r>
    <n v="442"/>
    <x v="3"/>
    <s v="P3700081"/>
    <s v="ACNES DERMA CARE GENTLE CLSR 50 GR"/>
    <x v="2"/>
    <n v="29250"/>
    <n v="236.3333333333338"/>
    <n v="419.95950000000005"/>
    <n v="294.65316666666666"/>
    <n v="4270"/>
    <n v="0"/>
    <n v="0"/>
    <n v="501"/>
    <n v="0"/>
    <n v="48"/>
    <n v="24"/>
    <n v="60"/>
    <n v="4771"/>
    <n v="485.75754884697767"/>
    <n v="0"/>
    <n v="0"/>
    <n v="0"/>
    <n v="0"/>
    <n v="442.99953221838786"/>
    <n v="0"/>
    <n v="6912750.000000014"/>
    <n v="12283815.375000002"/>
    <n v="8618605.125"/>
    <n v="0"/>
    <n v="139551750"/>
    <n v="18404"/>
    <n v="0"/>
    <n v="4349478.6666666754"/>
    <n v="7728934.6380000012"/>
    <n v="5422796.8793333331"/>
    <n v="0"/>
    <n v="87805484"/>
    <x v="0"/>
    <n v="0"/>
    <n v="0"/>
    <n v="0"/>
    <n v="0"/>
  </r>
  <r>
    <n v="443"/>
    <x v="3"/>
    <s v="P3700082"/>
    <s v="ACNES POINT CLEAR POUCH"/>
    <x v="2"/>
    <n v="25650"/>
    <n v="2669.00000000001"/>
    <n v="2826.2134999999994"/>
    <n v="2761.0711666666666"/>
    <n v="3306"/>
    <n v="576"/>
    <n v="288"/>
    <n v="1091"/>
    <n v="936"/>
    <n v="1800"/>
    <n v="72"/>
    <n v="60"/>
    <n v="4973"/>
    <n v="54.033377263546328"/>
    <n v="2439.3558333333331"/>
    <n v="61"/>
    <n v="2073.4524583333332"/>
    <n v="2088"/>
    <n v="56.182396481751923"/>
    <n v="53557200"/>
    <n v="68459850.000000253"/>
    <n v="72492376.274999991"/>
    <n v="70821475.424999997"/>
    <n v="24008400"/>
    <n v="127557450"/>
    <n v="16139"/>
    <n v="33698232"/>
    <n v="43074991.000000164"/>
    <n v="45612259.676499993"/>
    <n v="44560927.558833331"/>
    <n v="15106104"/>
    <n v="80259247"/>
    <x v="0"/>
    <n v="2027"/>
    <n v="0"/>
    <n v="0"/>
    <n v="0"/>
  </r>
  <r>
    <n v="444"/>
    <x v="3"/>
    <s v="P3700083"/>
    <s v="SELSUN SCALP PURIFYING SHAMPO 120ML"/>
    <x v="2"/>
    <n v="54000"/>
    <n v="9816.9999999999818"/>
    <n v="12469.26"/>
    <n v="10643.086666666668"/>
    <n v="22667"/>
    <n v="1224"/>
    <n v="648"/>
    <n v="4445"/>
    <n v="13176"/>
    <n v="1800"/>
    <n v="72"/>
    <n v="60"/>
    <n v="28336"/>
    <n v="79.871566080767295"/>
    <n v="0"/>
    <n v="0"/>
    <n v="0"/>
    <n v="0"/>
    <n v="81.863676139064907"/>
    <n v="0"/>
    <n v="530117999.99999905"/>
    <n v="673340040"/>
    <n v="574726680.00000012"/>
    <n v="711504000"/>
    <n v="1530144000"/>
    <n v="33977"/>
    <n v="0"/>
    <n v="333552208.9999994"/>
    <n v="423668047.01999998"/>
    <n v="361620155.67333341"/>
    <n v="447680952"/>
    <n v="962772272"/>
    <x v="0"/>
    <n v="0"/>
    <n v="0"/>
    <n v="0"/>
    <n v="0"/>
  </r>
  <r>
    <n v="445"/>
    <x v="3"/>
    <s v="P3700084"/>
    <s v="SELSUN SCALP PURIFYING SHAMPO 200ML"/>
    <x v="2"/>
    <n v="64800"/>
    <n v="9518.6666666666697"/>
    <n v="10065.963"/>
    <n v="9991.6543333333339"/>
    <n v="20904"/>
    <n v="936"/>
    <n v="360"/>
    <n v="394"/>
    <n v="18216"/>
    <n v="1440"/>
    <n v="72"/>
    <n v="60"/>
    <n v="22234"/>
    <n v="66.757713762649175"/>
    <n v="0"/>
    <n v="0"/>
    <n v="0"/>
    <n v="0"/>
    <n v="91.228247054049731"/>
    <n v="0"/>
    <n v="616809600.00000024"/>
    <n v="652274402.39999998"/>
    <n v="647459200.80000007"/>
    <n v="1180396800"/>
    <n v="1440763200"/>
    <n v="40772"/>
    <n v="0"/>
    <n v="388095077.33333343"/>
    <n v="410409443.43599999"/>
    <n v="407379730.47866666"/>
    <n v="742702752"/>
    <n v="906524648"/>
    <x v="0"/>
    <n v="0"/>
    <n v="0"/>
    <n v="0"/>
    <n v="0"/>
  </r>
  <r>
    <n v="446"/>
    <x v="3"/>
    <s v="P3700085"/>
    <s v="SELSUN SCALP HAIRFALL SHAMPO 120ML"/>
    <x v="2"/>
    <n v="54000"/>
    <n v="9442.3333333333467"/>
    <n v="10051.363000000001"/>
    <n v="9853.1209999999992"/>
    <n v="22537"/>
    <n v="576"/>
    <n v="720"/>
    <n v="1045"/>
    <n v="9936"/>
    <n v="1440"/>
    <n v="72"/>
    <n v="60"/>
    <n v="24158"/>
    <n v="73.554359070592966"/>
    <n v="0"/>
    <n v="0"/>
    <n v="0"/>
    <n v="0"/>
    <n v="73.203110973670178"/>
    <n v="0"/>
    <n v="509886000.00000072"/>
    <n v="542773602.00000012"/>
    <n v="532068533.99999994"/>
    <n v="536544000"/>
    <n v="1304532000"/>
    <n v="33977"/>
    <n v="0"/>
    <n v="320822159.6666671"/>
    <n v="341515160.65100002"/>
    <n v="334779492.21699995"/>
    <n v="337595472"/>
    <n v="820816366"/>
    <x v="0"/>
    <n v="0"/>
    <n v="0"/>
    <n v="0"/>
    <n v="0"/>
  </r>
  <r>
    <n v="447"/>
    <x v="3"/>
    <s v="P3700086"/>
    <s v="SELSUN SCALP HAIRFALL SHAMPO 200ML"/>
    <x v="2"/>
    <n v="64800"/>
    <n v="9969.9999999999363"/>
    <n v="10179.755999999999"/>
    <n v="10517.585333333334"/>
    <n v="19442"/>
    <n v="432"/>
    <n v="648"/>
    <n v="3936"/>
    <n v="13248"/>
    <n v="1656"/>
    <n v="72"/>
    <n v="60"/>
    <n v="23810"/>
    <n v="67.914828105665322"/>
    <n v="0"/>
    <n v="0"/>
    <n v="0"/>
    <n v="0"/>
    <n v="76.666582152126409"/>
    <n v="0"/>
    <n v="646055999.99999583"/>
    <n v="659648188.79999995"/>
    <n v="681539529.60000002"/>
    <n v="858470400"/>
    <n v="1542888000"/>
    <n v="40772"/>
    <n v="0"/>
    <n v="406496839.99999738"/>
    <n v="415049011.63199997"/>
    <n v="428822989.21066672"/>
    <n v="540147456"/>
    <n v="970781320"/>
    <x v="0"/>
    <n v="0"/>
    <n v="0"/>
    <n v="0"/>
    <n v="0"/>
  </r>
  <r>
    <n v="448"/>
    <x v="3"/>
    <s v="P3700087"/>
    <s v="SELSUN SCALP HFALL ANTIDAND SRM50ML"/>
    <x v="2"/>
    <n v="91800"/>
    <n v="1530.6666666666636"/>
    <n v="4064.37"/>
    <n v="2354.1233333333334"/>
    <n v="1965"/>
    <n v="432"/>
    <n v="2196"/>
    <n v="7560"/>
    <n v="1764"/>
    <n v="2700"/>
    <n v="36"/>
    <n v="60"/>
    <n v="9957"/>
    <n v="126.88799935432439"/>
    <n v="0"/>
    <n v="0"/>
    <n v="0"/>
    <n v="0"/>
    <n v="97.573010193461968"/>
    <n v="0"/>
    <n v="140515199.9999997"/>
    <n v="373109166"/>
    <n v="216108522"/>
    <n v="161935200"/>
    <n v="914052600"/>
    <n v="57761"/>
    <n v="0"/>
    <n v="88412837.33333315"/>
    <n v="234762075.56999999"/>
    <n v="135976517.85666668"/>
    <n v="101890404"/>
    <n v="575126277"/>
    <x v="0"/>
    <n v="0"/>
    <n v="0"/>
    <n v="0"/>
    <n v="0"/>
  </r>
  <r>
    <n v="449"/>
    <x v="3"/>
    <s v="P3700088"/>
    <s v="SKIN AQUA UV ACNE DEFENCE MILK 40GR"/>
    <x v="2"/>
    <n v="56700"/>
    <n v="4529.9999999999864"/>
    <n v="5149.5070000000005"/>
    <n v="4563.5023333333338"/>
    <n v="3470"/>
    <n v="0"/>
    <n v="356"/>
    <n v="5308"/>
    <n v="4512"/>
    <n v="5472"/>
    <n v="96"/>
    <n v="60"/>
    <n v="8778"/>
    <n v="57.705678832785367"/>
    <n v="986.51166666666904"/>
    <n v="0"/>
    <n v="345.27908333333414"/>
    <n v="384"/>
    <n v="56.039149609287648"/>
    <n v="21772800"/>
    <n v="256850999.99999923"/>
    <n v="291977046.90000004"/>
    <n v="258750582.30000004"/>
    <n v="255830400"/>
    <n v="497712600"/>
    <n v="35676"/>
    <n v="13699584"/>
    <n v="161612279.99999952"/>
    <n v="183713811.73200002"/>
    <n v="162807509.24400002"/>
    <n v="160970112"/>
    <n v="313163928"/>
    <x v="0"/>
    <n v="384"/>
    <n v="0"/>
    <n v="0"/>
    <n v="0"/>
  </r>
  <r>
    <n v="450"/>
    <x v="3"/>
    <s v="P3700089"/>
    <s v="HL GOKUJYUN LOTION 30 ML POUCH"/>
    <x v="2"/>
    <n v="17550"/>
    <n v="8847.3333333333067"/>
    <n v="10797.828"/>
    <n v="9911.6093333333356"/>
    <n v="12606"/>
    <n v="1632"/>
    <n v="576"/>
    <n v="7680"/>
    <n v="0"/>
    <n v="4032"/>
    <n v="144"/>
    <n v="60"/>
    <n v="21918"/>
    <n v="66.340387104307425"/>
    <n v="8703.0466666666689"/>
    <n v="0"/>
    <n v="3046.0663333333341"/>
    <n v="3024"/>
    <n v="42.810924616749077"/>
    <n v="53071200"/>
    <n v="155270699.99999952"/>
    <n v="189501881.40000001"/>
    <n v="173948743.80000004"/>
    <n v="0"/>
    <n v="384660900"/>
    <n v="11042"/>
    <n v="33391008"/>
    <n v="97692254.666666374"/>
    <n v="119229616.77599999"/>
    <n v="109443990.25866669"/>
    <n v="0"/>
    <n v="242018556"/>
    <x v="0"/>
    <n v="3024"/>
    <n v="0"/>
    <n v="0"/>
    <n v="0"/>
  </r>
  <r>
    <n v="451"/>
    <x v="3"/>
    <s v="P3700090"/>
    <s v="KHALISA R CHERRY PEPPER 2.2GR POUCH"/>
    <x v="1"/>
    <n v="23850"/>
    <n v="122.6666666666664"/>
    <n v="258.67"/>
    <n v="166.55666666666667"/>
    <n v="1998"/>
    <n v="24"/>
    <n v="0"/>
    <n v="552"/>
    <n v="0"/>
    <n v="0"/>
    <n v="72"/>
    <n v="60"/>
    <n v="2574"/>
    <n v="463.6259931554826"/>
    <n v="0"/>
    <n v="0"/>
    <n v="0"/>
    <n v="0"/>
    <n v="417.03464286429039"/>
    <n v="0"/>
    <n v="2925599.9999999935"/>
    <n v="6169279.5"/>
    <n v="3972376.5"/>
    <n v="0"/>
    <n v="61389900"/>
    <n v="15006"/>
    <n v="0"/>
    <n v="1840735.999999996"/>
    <n v="3881602.02"/>
    <n v="2499349.34"/>
    <n v="0"/>
    <n v="38625444"/>
    <x v="0"/>
    <n v="0"/>
    <n v="0"/>
    <n v="0"/>
    <n v="0"/>
  </r>
  <r>
    <n v="452"/>
    <x v="3"/>
    <s v="P3700091"/>
    <s v="LIP ICE MOIST TINT LIPB PEON POUCH"/>
    <x v="2"/>
    <n v="29700"/>
    <n v="1883.6666666666617"/>
    <n v="1685.0770000000002"/>
    <n v="1856.0256666666667"/>
    <n v="4807"/>
    <n v="576"/>
    <n v="144"/>
    <n v="72"/>
    <n v="0"/>
    <n v="792"/>
    <n v="72"/>
    <n v="60"/>
    <n v="5455"/>
    <n v="88.172272042933315"/>
    <n v="0"/>
    <n v="864"/>
    <n v="0"/>
    <n v="0"/>
    <n v="60.935412710707844"/>
    <n v="0"/>
    <n v="55944899.999999851"/>
    <n v="50046786.900000006"/>
    <n v="55123962.299999997"/>
    <n v="0"/>
    <n v="162013500"/>
    <n v="18687"/>
    <n v="0"/>
    <n v="35200078.999999911"/>
    <n v="31489033.899000004"/>
    <n v="34683551.633000001"/>
    <n v="0"/>
    <n v="101937585"/>
    <x v="0"/>
    <n v="-864"/>
    <n v="504"/>
    <n v="648"/>
    <n v="864"/>
  </r>
  <r>
    <n v="453"/>
    <x v="3"/>
    <s v="P3700092"/>
    <s v="LIP ICE MOIST TINT LIPB MGOLD POUCH"/>
    <x v="2"/>
    <n v="29700"/>
    <n v="1306.0000000000016"/>
    <n v="1418.499"/>
    <n v="1357.1663333333336"/>
    <n v="5311"/>
    <n v="288"/>
    <n v="144"/>
    <n v="648"/>
    <n v="0"/>
    <n v="360"/>
    <n v="72"/>
    <n v="60"/>
    <n v="6247"/>
    <n v="138.08919024663885"/>
    <n v="0"/>
    <n v="0"/>
    <n v="0"/>
    <n v="0"/>
    <n v="106.73343896191548"/>
    <n v="0"/>
    <n v="38788200.000000045"/>
    <n v="42129420.299999997"/>
    <n v="40307840.100000009"/>
    <n v="0"/>
    <n v="185535900"/>
    <n v="18687"/>
    <n v="0"/>
    <n v="24405222.00000003"/>
    <n v="26507490.813000001"/>
    <n v="25361367.271000005"/>
    <n v="0"/>
    <n v="116737689"/>
    <x v="0"/>
    <n v="0"/>
    <n v="0"/>
    <n v="0"/>
    <n v="0"/>
  </r>
  <r>
    <n v="454"/>
    <x v="3"/>
    <s v="P3700093"/>
    <s v="LIP ICE MOIST TINT LIPB HBCUS POUCH"/>
    <x v="2"/>
    <n v="29700"/>
    <n v="1635.3333333333346"/>
    <n v="1979.3589999999999"/>
    <n v="1729.1196666666669"/>
    <n v="5421"/>
    <n v="504"/>
    <n v="144"/>
    <n v="72"/>
    <n v="0"/>
    <n v="576"/>
    <n v="72"/>
    <n v="60"/>
    <n v="5997"/>
    <n v="104.04716542656868"/>
    <n v="0"/>
    <n v="648"/>
    <n v="0"/>
    <n v="0"/>
    <n v="69.705545731459864"/>
    <n v="0"/>
    <n v="48569400.000000037"/>
    <n v="58786962.299999997"/>
    <n v="51354854.100000009"/>
    <n v="0"/>
    <n v="178110900"/>
    <n v="18687"/>
    <n v="0"/>
    <n v="30559474.000000022"/>
    <n v="36988281.633000001"/>
    <n v="32312059.211000007"/>
    <n v="0"/>
    <n v="112065939"/>
    <x v="0"/>
    <n v="-648"/>
    <n v="504"/>
    <n v="576"/>
    <n v="648"/>
  </r>
  <r>
    <n v="455"/>
    <x v="3"/>
    <s v="P3700094"/>
    <s v="LIP ICE MOIST TINT LIPB MAGN POUCH"/>
    <x v="2"/>
    <n v="29700"/>
    <n v="1240.3333333333367"/>
    <n v="1644.0320000000002"/>
    <n v="1316.6773333333333"/>
    <n v="5595"/>
    <n v="288"/>
    <n v="144"/>
    <n v="777"/>
    <n v="0"/>
    <n v="360"/>
    <n v="72"/>
    <n v="60"/>
    <n v="6660"/>
    <n v="151.74560611154544"/>
    <n v="0"/>
    <n v="0"/>
    <n v="0"/>
    <n v="0"/>
    <n v="114.28695261202948"/>
    <n v="0"/>
    <n v="36837900.000000097"/>
    <n v="48827750.400000006"/>
    <n v="39105316.799999997"/>
    <n v="0"/>
    <n v="197802000"/>
    <n v="18687"/>
    <n v="0"/>
    <n v="23178109.000000063"/>
    <n v="30722025.984000001"/>
    <n v="24604749.327999998"/>
    <n v="0"/>
    <n v="124455420"/>
    <x v="0"/>
    <n v="0"/>
    <n v="0"/>
    <n v="0"/>
    <n v="0"/>
  </r>
  <r>
    <n v="456"/>
    <x v="3"/>
    <s v="P3700095"/>
    <s v="HL GOKUJYUN ALPHA FACE WASH 50 GR"/>
    <x v="2"/>
    <n v="27990"/>
    <n v="5746.99999999999"/>
    <n v="6506.34"/>
    <n v="6054.4466666666667"/>
    <n v="5503"/>
    <n v="480"/>
    <n v="330"/>
    <n v="6678"/>
    <n v="0"/>
    <n v="5496"/>
    <n v="24"/>
    <n v="60"/>
    <n v="12661"/>
    <n v="62.735708300345642"/>
    <n v="5954.2333333333336"/>
    <n v="0"/>
    <n v="2083.9816666666666"/>
    <n v="2088"/>
    <n v="40.842675411020217"/>
    <n v="58443120"/>
    <n v="160858529.99999973"/>
    <n v="182112456.59999999"/>
    <n v="169463962.19999999"/>
    <n v="0"/>
    <n v="354381390"/>
    <n v="17611"/>
    <n v="36771768"/>
    <n v="101210416.99999982"/>
    <n v="114583153.74000001"/>
    <n v="106624860.24666667"/>
    <n v="0"/>
    <n v="222972871"/>
    <x v="0"/>
    <n v="2088"/>
    <n v="0"/>
    <n v="0"/>
    <n v="0"/>
  </r>
  <r>
    <n v="457"/>
    <x v="3"/>
    <s v="P3700096"/>
    <s v="HL GOKUJYUN ALPHA FACE WASH 100 GR"/>
    <x v="2"/>
    <n v="46845"/>
    <n v="6009.3333333333849"/>
    <n v="5595.0150000000003"/>
    <n v="6330.3383333333322"/>
    <n v="5944"/>
    <n v="792"/>
    <n v="288"/>
    <n v="0"/>
    <n v="1224"/>
    <n v="3600"/>
    <n v="24"/>
    <n v="60"/>
    <n v="6736"/>
    <n v="31.922464386448016"/>
    <n v="10295.691666666666"/>
    <n v="2664"/>
    <n v="8751.3379166666655"/>
    <n v="8760"/>
    <n v="52.722229433234624"/>
    <n v="410362200"/>
    <n v="281507220.00000244"/>
    <n v="262098477.67500001"/>
    <n v="296544699.22499996"/>
    <n v="57338280"/>
    <n v="315547920"/>
    <n v="29475"/>
    <n v="258201000"/>
    <n v="177125100.00000152"/>
    <n v="164913067.125"/>
    <n v="186586722.37499997"/>
    <n v="36077400"/>
    <n v="198543600"/>
    <x v="0"/>
    <n v="6096"/>
    <n v="0"/>
    <n v="0"/>
    <n v="0"/>
  </r>
  <r>
    <n v="458"/>
    <x v="3"/>
    <s v="P3700097"/>
    <s v="LIP ICE MILKY TINT TOKYO POUCH"/>
    <x v="2"/>
    <n v="33750"/>
    <n v="912.99999999999636"/>
    <n v="1604.3339999999998"/>
    <n v="1075.778"/>
    <n v="5349"/>
    <n v="216"/>
    <n v="216"/>
    <n v="1384"/>
    <n v="0"/>
    <n v="72"/>
    <n v="72"/>
    <n v="60"/>
    <n v="6949"/>
    <n v="193.78533489251501"/>
    <n v="0"/>
    <n v="0"/>
    <n v="0"/>
    <n v="0"/>
    <n v="149.04560234546531"/>
    <n v="0"/>
    <n v="30813749.999999877"/>
    <n v="54146272.499999993"/>
    <n v="36307507.5"/>
    <n v="0"/>
    <n v="234528750"/>
    <n v="21236"/>
    <n v="0"/>
    <n v="19388467.999999922"/>
    <n v="34069636.823999994"/>
    <n v="22845221.607999999"/>
    <n v="0"/>
    <n v="147568964"/>
    <x v="0"/>
    <n v="0"/>
    <n v="0"/>
    <n v="0"/>
    <n v="0"/>
  </r>
  <r>
    <n v="459"/>
    <x v="3"/>
    <s v="P3700098"/>
    <s v="LIP ICE MILKY TINT OSAKA POUCH"/>
    <x v="2"/>
    <n v="33750"/>
    <n v="988.99999999999659"/>
    <n v="1568.7780000000002"/>
    <n v="1206.9260000000004"/>
    <n v="5425"/>
    <n v="216"/>
    <n v="144"/>
    <n v="833"/>
    <n v="0"/>
    <n v="216"/>
    <n v="72"/>
    <n v="60"/>
    <n v="6474"/>
    <n v="160.92121637946315"/>
    <n v="0"/>
    <n v="0"/>
    <n v="0"/>
    <n v="0"/>
    <n v="121.92682898537271"/>
    <n v="0"/>
    <n v="33378749.999999885"/>
    <n v="52946257.500000007"/>
    <n v="40733752.500000015"/>
    <n v="0"/>
    <n v="218497500"/>
    <n v="21236"/>
    <n v="0"/>
    <n v="21002403.999999929"/>
    <n v="33314569.608000007"/>
    <n v="25630280.53600001"/>
    <n v="0"/>
    <n v="137481864"/>
    <x v="0"/>
    <n v="0"/>
    <n v="0"/>
    <n v="0"/>
    <n v="0"/>
  </r>
  <r>
    <n v="460"/>
    <x v="3"/>
    <s v="P3700099"/>
    <s v="LIP ICE MILKY TINT KYOTO POUCH"/>
    <x v="2"/>
    <n v="33750"/>
    <n v="867.00000000000591"/>
    <n v="1509.2330000000002"/>
    <n v="1041.0776666666668"/>
    <n v="5474"/>
    <n v="72"/>
    <n v="216"/>
    <n v="1236"/>
    <n v="0"/>
    <n v="216"/>
    <n v="72"/>
    <n v="60"/>
    <n v="6782"/>
    <n v="195.43210512952442"/>
    <n v="0"/>
    <n v="0"/>
    <n v="0"/>
    <n v="0"/>
    <n v="151.94160346026055"/>
    <n v="0"/>
    <n v="29261250.000000201"/>
    <n v="50936613.750000007"/>
    <n v="35136371.250000007"/>
    <n v="0"/>
    <n v="228892500"/>
    <n v="21236"/>
    <n v="0"/>
    <n v="18411612.000000127"/>
    <n v="32050071.988000005"/>
    <n v="22108325.329333335"/>
    <n v="0"/>
    <n v="144022552"/>
    <x v="0"/>
    <n v="0"/>
    <n v="0"/>
    <n v="0"/>
    <n v="0"/>
  </r>
  <r>
    <n v="461"/>
    <x v="3"/>
    <s v="P3700100"/>
    <s v="ANC ACNES CALMING &amp; SOOTHING FW 70G"/>
    <x v="4"/>
    <n v="26325"/>
    <n v="1665.6666666666631"/>
    <n v="2447"/>
    <n v="1928"/>
    <n v="22337"/>
    <n v="300"/>
    <n v="60"/>
    <n v="17470"/>
    <n v="0"/>
    <n v="180"/>
    <n v="60"/>
    <n v="60"/>
    <n v="40107"/>
    <n v="624.07157676348538"/>
    <n v="0"/>
    <n v="0"/>
    <n v="0"/>
    <n v="0"/>
    <n v="585.99585062240658"/>
    <n v="0"/>
    <n v="43848674.999999903"/>
    <n v="64417275"/>
    <n v="50754600"/>
    <n v="0"/>
    <n v="1055816775"/>
    <n v="16564"/>
    <n v="0"/>
    <n v="27590102.666666608"/>
    <n v="40532108"/>
    <n v="31935392"/>
    <n v="0"/>
    <n v="664332348"/>
    <x v="0"/>
    <n v="0"/>
    <n v="0"/>
    <n v="0"/>
    <n v="0"/>
  </r>
  <r>
    <n v="462"/>
    <x v="3"/>
    <s v="P3700101"/>
    <s v="LIP ICE BUTTER CHOCOLATE POUCH"/>
    <x v="2"/>
    <n v="29250"/>
    <n v="419.00000000000068"/>
    <n v="948"/>
    <n v="702.33333333333337"/>
    <n v="1413"/>
    <n v="0"/>
    <n v="0"/>
    <n v="0"/>
    <n v="648"/>
    <n v="648"/>
    <n v="72"/>
    <n v="60"/>
    <n v="1413"/>
    <n v="60.355956336022778"/>
    <n v="291.66666666666697"/>
    <n v="0"/>
    <n v="102.08333333333343"/>
    <n v="72"/>
    <n v="50.616990982439482"/>
    <n v="2106000"/>
    <n v="12255750.00000002"/>
    <n v="27729000"/>
    <n v="20543250"/>
    <n v="18954000"/>
    <n v="41330250"/>
    <n v="18404"/>
    <n v="1325088"/>
    <n v="7711276.0000000121"/>
    <n v="17446992"/>
    <n v="12925742.666666668"/>
    <n v="11925792"/>
    <n v="26004852"/>
    <x v="0"/>
    <n v="72"/>
    <n v="0"/>
    <n v="0"/>
    <n v="0"/>
  </r>
  <r>
    <n v="463"/>
    <x v="3"/>
    <s v="P3700102"/>
    <s v="ROHTO TEARS 7 ML"/>
    <x v="4"/>
    <n v="11250"/>
    <n v="1962.3333333333428"/>
    <n v="2232"/>
    <n v="2116"/>
    <n v="5384"/>
    <n v="1152"/>
    <n v="144"/>
    <n v="576"/>
    <n v="0"/>
    <n v="2448"/>
    <n v="144"/>
    <n v="60"/>
    <n v="7112"/>
    <n v="100.83175803402646"/>
    <n v="0"/>
    <n v="2016"/>
    <n v="2016"/>
    <n v="2016"/>
    <n v="97.769376181474485"/>
    <n v="22680000"/>
    <n v="22076250.000000108"/>
    <n v="25110000"/>
    <n v="23805000"/>
    <n v="0"/>
    <n v="80010000"/>
    <n v="9259"/>
    <n v="18666144"/>
    <n v="18169244.333333421"/>
    <n v="20666088"/>
    <n v="19592044"/>
    <n v="0"/>
    <n v="65850008"/>
    <x v="0"/>
    <n v="0"/>
    <n v="1152"/>
    <n v="1152"/>
    <n v="1008"/>
  </r>
  <r>
    <n v="464"/>
    <x v="3"/>
    <s v="P3700103"/>
    <s v="ACNES UV TINT NAT BEIGE 30GR"/>
    <x v="2"/>
    <n v="51200"/>
    <n v="1788.999999999995"/>
    <n v="2496.35"/>
    <n v="2251.4500000000003"/>
    <n v="3826"/>
    <n v="243"/>
    <n v="144"/>
    <n v="1485"/>
    <n v="1152"/>
    <n v="1728"/>
    <n v="144"/>
    <n v="60"/>
    <n v="5554"/>
    <n v="74.005640809256249"/>
    <n v="293.25"/>
    <n v="0"/>
    <n v="102.63749999999999"/>
    <n v="144"/>
    <n v="58.011281618512506"/>
    <n v="7372800"/>
    <n v="91596799.999999747"/>
    <n v="127813120"/>
    <n v="115274240.00000001"/>
    <n v="58982400"/>
    <n v="284364800"/>
    <n v="32215"/>
    <n v="4638960"/>
    <n v="57632634.999999836"/>
    <n v="80419915.25"/>
    <n v="72530461.750000015"/>
    <n v="37111680"/>
    <n v="178922110"/>
    <x v="0"/>
    <n v="144"/>
    <n v="0"/>
    <n v="0"/>
    <n v="0"/>
  </r>
  <r>
    <n v="465"/>
    <x v="3"/>
    <s v="P3700104"/>
    <s v="ACNES UV TINT NAT GREEN 30GR"/>
    <x v="2"/>
    <n v="51200"/>
    <n v="972.00000000000466"/>
    <n v="1494"/>
    <n v="1287"/>
    <n v="1785"/>
    <n v="594"/>
    <n v="144"/>
    <n v="222"/>
    <n v="0"/>
    <n v="1152"/>
    <n v="144"/>
    <n v="60"/>
    <n v="2601"/>
    <n v="60.629370629370626"/>
    <n v="1467"/>
    <n v="1074"/>
    <n v="1467"/>
    <n v="1440"/>
    <n v="59.370629370629366"/>
    <n v="73728000"/>
    <n v="49766400.000000238"/>
    <n v="76492800"/>
    <n v="65894400"/>
    <n v="0"/>
    <n v="133171200"/>
    <n v="32215"/>
    <n v="46389600"/>
    <n v="31312980.000000149"/>
    <n v="48129210"/>
    <n v="41460705"/>
    <n v="0"/>
    <n v="83791215"/>
    <x v="0"/>
    <n v="366"/>
    <n v="786"/>
    <n v="786"/>
    <n v="786"/>
  </r>
  <r>
    <n v="466"/>
    <x v="3"/>
    <s v="P3700105"/>
    <s v="MELANO CC VIT C BRIGHT FW 130GR"/>
    <x v="4"/>
    <n v="95850"/>
    <n v="2608.0000000000368"/>
    <n v="0"/>
    <n v="2607.9999999999995"/>
    <n v="4514"/>
    <n v="0"/>
    <n v="0"/>
    <n v="570"/>
    <n v="0"/>
    <n v="60"/>
    <n v="60"/>
    <n v="60"/>
    <n v="5084"/>
    <n v="58.481595092024548"/>
    <n v="131.99999999999909"/>
    <n v="0"/>
    <n v="0"/>
    <n v="0"/>
    <n v="58.481595092024548"/>
    <n v="0"/>
    <n v="249976800.00000352"/>
    <n v="0"/>
    <n v="249976799.99999997"/>
    <n v="0"/>
    <n v="487301400"/>
    <n v="60309"/>
    <n v="0"/>
    <n v="157285872.00000224"/>
    <n v="0"/>
    <n v="157285871.99999997"/>
    <n v="0"/>
    <n v="306610956"/>
    <x v="0"/>
    <n v="0"/>
    <n v="150"/>
    <n v="450"/>
    <n v="750"/>
  </r>
  <r>
    <n v="467"/>
    <x v="3"/>
    <s v="P3700106"/>
    <s v="MELANO CC BRIGHT PREMIUM ESS 20 ML"/>
    <x v="4"/>
    <n v="128700"/>
    <n v="1731.666666666699"/>
    <n v="0"/>
    <n v="1731.6666666666665"/>
    <n v="3632"/>
    <n v="0"/>
    <n v="0"/>
    <n v="2120"/>
    <n v="0"/>
    <n v="300"/>
    <n v="100"/>
    <n v="60"/>
    <n v="5752"/>
    <n v="99.649663137632345"/>
    <n v="0"/>
    <n v="0"/>
    <n v="0"/>
    <n v="0"/>
    <n v="99.649663137632345"/>
    <n v="0"/>
    <n v="222865500.00000417"/>
    <n v="0"/>
    <n v="222865499.99999997"/>
    <n v="0"/>
    <n v="740282400"/>
    <n v="80978"/>
    <n v="0"/>
    <n v="140226903.33333597"/>
    <n v="0"/>
    <n v="140226903.33333331"/>
    <n v="0"/>
    <n v="465785456"/>
    <x v="0"/>
    <n v="0"/>
    <n v="0"/>
    <n v="0"/>
    <n v="0"/>
  </r>
  <r>
    <n v="468"/>
    <x v="3"/>
    <s v="P3700107"/>
    <s v="50 MEGUMI GREY HAIR SHAMPOO 400ML"/>
    <x v="4"/>
    <n v="162000"/>
    <n v="268.66666666666617"/>
    <n v="0"/>
    <n v="268.66666666666674"/>
    <n v="3567"/>
    <n v="0"/>
    <n v="0"/>
    <n v="5772"/>
    <n v="0"/>
    <n v="0"/>
    <n v="12"/>
    <n v="60"/>
    <n v="9339"/>
    <n v="1042.8163771712157"/>
    <n v="0"/>
    <n v="0"/>
    <n v="0"/>
    <n v="0"/>
    <n v="1042.8163771712157"/>
    <n v="0"/>
    <n v="43523999.999999918"/>
    <n v="0"/>
    <n v="43524000.000000015"/>
    <n v="0"/>
    <n v="1512918000"/>
    <n v="101930"/>
    <n v="0"/>
    <n v="27385193.333333284"/>
    <n v="0"/>
    <n v="27385193.33333334"/>
    <n v="0"/>
    <n v="951924270"/>
    <x v="0"/>
    <n v="0"/>
    <n v="0"/>
    <n v="0"/>
    <n v="0"/>
  </r>
  <r>
    <n v="469"/>
    <x v="3"/>
    <s v="P3700108"/>
    <s v="50 MEGUMI GREY HAIR COND 400ML"/>
    <x v="4"/>
    <n v="171000"/>
    <n v="239.66666666666677"/>
    <n v="0"/>
    <n v="239.66666666666671"/>
    <n v="3690"/>
    <n v="0"/>
    <n v="0"/>
    <n v="5772"/>
    <n v="0"/>
    <n v="0"/>
    <n v="12"/>
    <n v="60"/>
    <n v="9462"/>
    <n v="1184.3949930458966"/>
    <n v="0"/>
    <n v="0"/>
    <n v="0"/>
    <n v="0"/>
    <n v="1184.3949930458966"/>
    <n v="0"/>
    <n v="40983000.000000015"/>
    <n v="0"/>
    <n v="40983000.000000007"/>
    <n v="0"/>
    <n v="1618002000"/>
    <n v="107593"/>
    <n v="0"/>
    <n v="25786455.666666679"/>
    <n v="0"/>
    <n v="25786455.666666672"/>
    <n v="0"/>
    <n v="1018044966"/>
    <x v="0"/>
    <n v="0"/>
    <n v="0"/>
    <n v="0"/>
    <n v="0"/>
  </r>
  <r>
    <n v="470"/>
    <x v="3"/>
    <s v="P3700109"/>
    <s v="50 MEGUMI GREY HAIR SERUM 120ML"/>
    <x v="4"/>
    <n v="297000"/>
    <n v="214.33333333333354"/>
    <n v="0"/>
    <n v="214.33333333333334"/>
    <n v="2965"/>
    <n v="0"/>
    <n v="0"/>
    <n v="672"/>
    <n v="0"/>
    <n v="96"/>
    <n v="48"/>
    <n v="60"/>
    <n v="3637"/>
    <n v="509.06687402799378"/>
    <n v="0"/>
    <n v="0"/>
    <n v="0"/>
    <n v="0"/>
    <n v="509.06687402799378"/>
    <n v="0"/>
    <n v="63657000.00000006"/>
    <n v="0"/>
    <n v="63657000"/>
    <n v="0"/>
    <n v="1080189000"/>
    <n v="186872"/>
    <n v="0"/>
    <n v="40052898.666666709"/>
    <n v="0"/>
    <n v="40052898.666666672"/>
    <n v="0"/>
    <n v="679653464"/>
    <x v="0"/>
    <n v="0"/>
    <n v="0"/>
    <n v="0"/>
    <n v="0"/>
  </r>
  <r>
    <n v="471"/>
    <x v="3"/>
    <s v="P3700110"/>
    <s v="SELSUN 7 FLOWERS 60 ML  NEW"/>
    <x v="2"/>
    <n v="24300"/>
    <n v="287.66666666666669"/>
    <n v="3064.4768518518663"/>
    <n v="1309.1589506172888"/>
    <n v="1554"/>
    <n v="1152"/>
    <n v="0"/>
    <n v="0"/>
    <n v="0"/>
    <n v="2592"/>
    <n v="72"/>
    <n v="60"/>
    <n v="2706"/>
    <n v="62.009276995526299"/>
    <n v="2976.794753086444"/>
    <n v="2592"/>
    <n v="2976.794753086444"/>
    <n v="2952"/>
    <n v="59.431816440438659"/>
    <n v="71733600"/>
    <n v="6990300"/>
    <n v="74466787.500000358"/>
    <n v="31812562.500000119"/>
    <n v="0"/>
    <n v="65755800"/>
    <n v="15290"/>
    <n v="45136080"/>
    <n v="4398423.333333334"/>
    <n v="46855851.064815037"/>
    <n v="20017040.354938347"/>
    <n v="0"/>
    <n v="41374740"/>
    <x v="0"/>
    <n v="360"/>
    <n v="0"/>
    <n v="0"/>
    <n v="0"/>
  </r>
  <r>
    <n v="472"/>
    <x v="3"/>
    <s v="P3700111"/>
    <s v="SELSUN 7 FLOWERS 120 ML NEW"/>
    <x v="2"/>
    <n v="41220"/>
    <n v="1478.6666666666624"/>
    <n v="3021.7314814814808"/>
    <n v="2485.9104938271603"/>
    <n v="5973"/>
    <n v="144"/>
    <n v="0"/>
    <n v="0"/>
    <n v="5544"/>
    <n v="2736"/>
    <n v="72"/>
    <n v="60"/>
    <n v="6117"/>
    <n v="73.820035136292816"/>
    <n v="0"/>
    <n v="0"/>
    <n v="0"/>
    <n v="0"/>
    <n v="104.25880424863584"/>
    <n v="0"/>
    <n v="60950639.999999829"/>
    <n v="124555771.66666664"/>
    <n v="102469230.55555555"/>
    <n v="228523680"/>
    <n v="252142740"/>
    <n v="25936"/>
    <n v="0"/>
    <n v="38350698.66666656"/>
    <n v="78371627.703703687"/>
    <n v="64474574.567901231"/>
    <n v="143789184"/>
    <n v="158650512"/>
    <x v="0"/>
    <n v="0"/>
    <n v="0"/>
    <n v="0"/>
    <n v="0"/>
  </r>
  <r>
    <n v="473"/>
    <x v="3"/>
    <s v="P3700112"/>
    <s v="SELSUN 7 FLOWERS 200 ML NEW"/>
    <x v="2"/>
    <n v="58050"/>
    <n v="970.33333333333246"/>
    <n v="3007.7314814814808"/>
    <n v="1972.9104938271601"/>
    <n v="1748"/>
    <n v="0"/>
    <n v="0"/>
    <n v="0"/>
    <n v="1656"/>
    <n v="3168"/>
    <n v="72"/>
    <n v="60"/>
    <n v="1748"/>
    <n v="26.580019805294871"/>
    <n v="3549.5524691358005"/>
    <n v="1512"/>
    <n v="3017.1195987654305"/>
    <n v="3024"/>
    <n v="52.008469657693816"/>
    <n v="175543200"/>
    <n v="56327849.999999948"/>
    <n v="174598812.49999997"/>
    <n v="114527454.16666664"/>
    <n v="96130800"/>
    <n v="101471400"/>
    <n v="36525"/>
    <n v="110451600"/>
    <n v="35441424.99999997"/>
    <n v="109857392.36111109"/>
    <n v="72060555.787037015"/>
    <n v="60485400"/>
    <n v="63845700"/>
    <x v="0"/>
    <n v="1512"/>
    <n v="0"/>
    <n v="0"/>
    <n v="0"/>
  </r>
  <r>
    <n v="474"/>
    <x v="3"/>
    <s v="P3700113"/>
    <s v="SELSUN 7 HERBAL 60 ML NEW"/>
    <x v="2"/>
    <n v="24300"/>
    <n v="358.33333333333303"/>
    <n v="2997.7314814814808"/>
    <n v="1357.577160493827"/>
    <n v="1334"/>
    <n v="792"/>
    <n v="0"/>
    <n v="0"/>
    <n v="0"/>
    <n v="3168"/>
    <n v="72"/>
    <n v="60"/>
    <n v="2126"/>
    <n v="46.980755021541199"/>
    <n v="3586.8858024691344"/>
    <n v="3168"/>
    <n v="3048.8529320987641"/>
    <n v="3024"/>
    <n v="47.561241772856988"/>
    <n v="73483200"/>
    <n v="8707499.9999999925"/>
    <n v="72844874.999999985"/>
    <n v="32989124.999999996"/>
    <n v="0"/>
    <n v="51661800"/>
    <n v="15290"/>
    <n v="46236960"/>
    <n v="5478916.6666666623"/>
    <n v="45835314.351851843"/>
    <n v="20757354.783950616"/>
    <n v="0"/>
    <n v="32506540"/>
    <x v="0"/>
    <n v="-144"/>
    <n v="0"/>
    <n v="0"/>
    <n v="0"/>
  </r>
  <r>
    <n v="475"/>
    <x v="3"/>
    <s v="P3700114"/>
    <s v="SELSUN 7 HERBAL 120 ML NEW"/>
    <x v="2"/>
    <n v="41220"/>
    <n v="1197.9999999999966"/>
    <n v="3021.7314814814808"/>
    <n v="2205.2438271604938"/>
    <n v="3298"/>
    <n v="0"/>
    <n v="288"/>
    <n v="0"/>
    <n v="0"/>
    <n v="3240"/>
    <n v="72"/>
    <n v="60"/>
    <n v="3298"/>
    <n v="44.865787075979114"/>
    <n v="4134.2191358024684"/>
    <n v="3528"/>
    <n v="3514.0862654320981"/>
    <n v="3528"/>
    <n v="51.753032544482224"/>
    <n v="145424160"/>
    <n v="49381559.999999858"/>
    <n v="124555771.66666664"/>
    <n v="90900150.555555552"/>
    <n v="0"/>
    <n v="135943560"/>
    <n v="25936"/>
    <n v="91502208"/>
    <n v="31071327.999999911"/>
    <n v="78371627.703703687"/>
    <n v="57195203.901234567"/>
    <n v="0"/>
    <n v="85536928"/>
    <x v="0"/>
    <n v="0"/>
    <n v="0"/>
    <n v="0"/>
    <n v="0"/>
  </r>
  <r>
    <n v="476"/>
    <x v="3"/>
    <s v="P3700115"/>
    <s v="SELSUN 7 HERBAL 200 ML NEW"/>
    <x v="2"/>
    <n v="58050"/>
    <n v="332.66666666666669"/>
    <n v="3007.7314814814808"/>
    <n v="1335.2438271604938"/>
    <n v="1478"/>
    <n v="216"/>
    <n v="0"/>
    <n v="0"/>
    <n v="0"/>
    <n v="2664"/>
    <n v="72"/>
    <n v="60"/>
    <n v="1694"/>
    <n v="38.06046428843856"/>
    <n v="3984.2191358024684"/>
    <n v="2664"/>
    <n v="3984.2191358024684"/>
    <n v="3960"/>
    <n v="59.455849142085782"/>
    <n v="229878000"/>
    <n v="19311300"/>
    <n v="174598812.49999997"/>
    <n v="77510904.166666657"/>
    <n v="0"/>
    <n v="98336700"/>
    <n v="36525"/>
    <n v="144639000"/>
    <n v="12150650"/>
    <n v="109857392.36111109"/>
    <n v="48769780.787037037"/>
    <n v="0"/>
    <n v="61873350"/>
    <x v="0"/>
    <n v="1296"/>
    <n v="0"/>
    <n v="0"/>
    <n v="0"/>
  </r>
  <r>
    <n v="477"/>
    <x v="3"/>
    <s v="P3700116"/>
    <s v="SELSUN YELLOW DOUBLE IMPACT 6S@10ML"/>
    <x v="4"/>
    <n v="29700"/>
    <n v="68.333333333332632"/>
    <n v="2253.7314814814808"/>
    <n v="819.57716049382702"/>
    <n v="3940"/>
    <n v="264"/>
    <n v="384"/>
    <n v="878"/>
    <n v="0"/>
    <n v="984"/>
    <n v="24"/>
    <n v="60"/>
    <n v="5082"/>
    <n v="186.02275337704256"/>
    <n v="0"/>
    <n v="490"/>
    <n v="490"/>
    <n v="480"/>
    <n v="121.09665854494379"/>
    <n v="14256000"/>
    <n v="2029499.9999999793"/>
    <n v="66935824.999999978"/>
    <n v="24341441.666666664"/>
    <n v="0"/>
    <n v="150935400"/>
    <n v="18687"/>
    <n v="8969760"/>
    <n v="1276944.999999987"/>
    <n v="42115480.194444433"/>
    <n v="15315438.398148146"/>
    <n v="0"/>
    <n v="94967334"/>
    <x v="0"/>
    <n v="-10"/>
    <n v="0"/>
    <n v="0"/>
    <n v="0"/>
  </r>
  <r>
    <n v="478"/>
    <x v="3"/>
    <s v="P3700117"/>
    <s v="SELSUN BLUE 5 6S @ 10ML"/>
    <x v="4"/>
    <n v="29700"/>
    <n v="0"/>
    <n v="2253.7314814814808"/>
    <n v="751.24382716049365"/>
    <n v="0"/>
    <n v="0"/>
    <n v="0"/>
    <n v="1269"/>
    <n v="0"/>
    <n v="1848"/>
    <n v="24"/>
    <n v="60"/>
    <n v="1269"/>
    <n v="50.675957157471366"/>
    <n v="2487.2191358024684"/>
    <n v="579"/>
    <n v="2114.1362654320978"/>
    <n v="2112"/>
    <n v="45.016084436099838"/>
    <n v="62726400"/>
    <n v="0"/>
    <n v="66935824.999999978"/>
    <n v="22311941.66666666"/>
    <n v="0"/>
    <n v="37689300"/>
    <n v="18687"/>
    <n v="39466944"/>
    <n v="0"/>
    <n v="42115480.194444433"/>
    <n v="14038493.398148146"/>
    <n v="0"/>
    <n v="23713803"/>
    <x v="0"/>
    <n v="1533"/>
    <n v="387"/>
    <n v="1107"/>
    <n v="1851"/>
  </r>
  <r>
    <n v="479"/>
    <x v="3"/>
    <s v="P3700118"/>
    <s v="ROHTO DRYFRESH PRO 7 ML"/>
    <x v="4"/>
    <n v="18000"/>
    <n v="680.99999999999955"/>
    <n v="0"/>
    <n v="681"/>
    <n v="8849"/>
    <n v="0"/>
    <n v="0"/>
    <n v="1072"/>
    <n v="0"/>
    <n v="0"/>
    <n v="144"/>
    <n v="60"/>
    <n v="9921"/>
    <n v="437.04845814977978"/>
    <n v="0"/>
    <n v="0"/>
    <n v="0"/>
    <n v="0"/>
    <n v="437.04845814977978"/>
    <n v="0"/>
    <n v="12257999.999999993"/>
    <n v="0"/>
    <n v="12258000"/>
    <n v="0"/>
    <n v="178578000"/>
    <n v="14815"/>
    <n v="0"/>
    <n v="10089014.999999993"/>
    <n v="0"/>
    <n v="10089015"/>
    <n v="0"/>
    <n v="146979615"/>
    <x v="0"/>
    <n v="0"/>
    <n v="0"/>
    <n v="0"/>
    <n v="0"/>
  </r>
  <r>
    <n v="480"/>
    <x v="3"/>
    <s v="P37ACCWA"/>
    <s v="ACNES CREAMY WASH 50 GR"/>
    <x v="3"/>
    <n v="17100"/>
    <n v="168166.99999999985"/>
    <n v="173841.01"/>
    <n v="166702.3366666667"/>
    <n v="214226"/>
    <n v="39960"/>
    <n v="19080"/>
    <n v="42360"/>
    <n v="180120"/>
    <n v="52440"/>
    <n v="120"/>
    <n v="60"/>
    <n v="296546"/>
    <n v="53.366858424959879"/>
    <n v="30579.683333333407"/>
    <n v="0"/>
    <n v="10702.889166666691"/>
    <n v="10680"/>
    <n v="56.41882344340663"/>
    <n v="182628000"/>
    <n v="2875655699.9999976"/>
    <n v="2972681271"/>
    <n v="2850609957.0000005"/>
    <n v="3080052000"/>
    <n v="5070936600"/>
    <n v="10759"/>
    <n v="114906120"/>
    <n v="1809308752.9999983"/>
    <n v="1870355426.5900002"/>
    <n v="1793550440.196667"/>
    <n v="1937911080"/>
    <n v="3190538414"/>
    <x v="0"/>
    <n v="10680"/>
    <n v="0"/>
    <n v="0"/>
    <n v="0"/>
  </r>
  <r>
    <n v="481"/>
    <x v="3"/>
    <s v="P37ACCWB"/>
    <s v="ACNES CREAMY WASH 100 GR"/>
    <x v="3"/>
    <n v="28485"/>
    <n v="155751.66666666709"/>
    <n v="157683.66"/>
    <n v="157738.55333333334"/>
    <n v="161384"/>
    <n v="41040"/>
    <n v="17880"/>
    <n v="48440"/>
    <n v="181320"/>
    <n v="72840"/>
    <n v="120"/>
    <n v="60"/>
    <n v="250864"/>
    <n v="47.711354269214169"/>
    <n v="40976.766666666721"/>
    <n v="0"/>
    <n v="14341.868333333352"/>
    <n v="14400"/>
    <n v="54.94541452833576"/>
    <n v="410184000"/>
    <n v="4436586225.0000124"/>
    <n v="4491619055.1000004"/>
    <n v="4493182691.7000008"/>
    <n v="5164900200"/>
    <n v="7145861040"/>
    <n v="17923"/>
    <n v="258091200"/>
    <n v="2791537121.6666741"/>
    <n v="2826164238.1799998"/>
    <n v="2827148091.3933334"/>
    <n v="3249798360"/>
    <n v="4496235472"/>
    <x v="0"/>
    <n v="14400"/>
    <n v="0"/>
    <n v="0"/>
    <n v="0"/>
  </r>
  <r>
    <n v="482"/>
    <x v="3"/>
    <s v="P37ACFW1"/>
    <s v="OXY ACNE CLEANSER FACIAL WASH 50GR"/>
    <x v="2"/>
    <n v="20700"/>
    <n v="361.33333333333303"/>
    <n v="822.73700000000008"/>
    <n v="456.91233333333327"/>
    <n v="1494"/>
    <n v="48"/>
    <n v="120"/>
    <n v="892"/>
    <n v="0"/>
    <n v="420"/>
    <n v="120"/>
    <n v="60"/>
    <n v="2434"/>
    <n v="159.81183844895122"/>
    <n v="0"/>
    <n v="0"/>
    <n v="0"/>
    <n v="0"/>
    <n v="105.79248243827956"/>
    <n v="0"/>
    <n v="7479599.9999999935"/>
    <n v="17030655.900000002"/>
    <n v="9458085.2999999989"/>
    <n v="0"/>
    <n v="50383800"/>
    <n v="13024"/>
    <n v="0"/>
    <n v="4706005.3333333293"/>
    <n v="10715326.688000001"/>
    <n v="5950826.2293333327"/>
    <n v="0"/>
    <n v="31700416"/>
    <x v="0"/>
    <n v="0"/>
    <n v="0"/>
    <n v="0"/>
    <n v="0"/>
  </r>
  <r>
    <n v="483"/>
    <x v="3"/>
    <s v="P37ACFW2"/>
    <s v="OXY ACNE CLEANSER FACE WASH 100GR"/>
    <x v="2"/>
    <n v="34200"/>
    <n v="1080.666666666674"/>
    <n v="1485.5"/>
    <n v="1198.5"/>
    <n v="669"/>
    <n v="12"/>
    <n v="0"/>
    <n v="0"/>
    <n v="1560"/>
    <n v="2292"/>
    <n v="120"/>
    <n v="60"/>
    <n v="681"/>
    <n v="17.04630788485607"/>
    <n v="1641.5"/>
    <n v="732"/>
    <n v="820.75"/>
    <n v="840"/>
    <n v="39.93742177722153"/>
    <n v="28728000"/>
    <n v="36958800.000000253"/>
    <n v="50804100"/>
    <n v="40988700"/>
    <n v="53352000"/>
    <n v="23290200"/>
    <n v="21519"/>
    <n v="18075960"/>
    <n v="23254866.000000156"/>
    <n v="31966474.5"/>
    <n v="25790521.5"/>
    <n v="33569640"/>
    <n v="14654439"/>
    <x v="0"/>
    <n v="108"/>
    <n v="0"/>
    <n v="0"/>
    <n v="0"/>
  </r>
  <r>
    <n v="484"/>
    <x v="3"/>
    <s v="P37ACFWB"/>
    <s v="ACNES FOAMING WASH 100 ML"/>
    <x v="2"/>
    <n v="36450"/>
    <n v="2339.3333333333344"/>
    <n v="2992.6605000000004"/>
    <n v="2422.8868333333335"/>
    <n v="4408"/>
    <n v="360"/>
    <n v="420"/>
    <n v="360"/>
    <n v="2160"/>
    <n v="480"/>
    <n v="60"/>
    <n v="60"/>
    <n v="5128"/>
    <n v="63.494504936638599"/>
    <n v="550.43416666666781"/>
    <n v="0"/>
    <n v="192.65195833333371"/>
    <n v="180"/>
    <n v="55.413312397793234"/>
    <n v="6561000"/>
    <n v="85268700.000000045"/>
    <n v="109082475.22500001"/>
    <n v="88314225.075000003"/>
    <n v="78732000"/>
    <n v="186915600"/>
    <n v="22934"/>
    <n v="4128120"/>
    <n v="53650270.666666694"/>
    <n v="68633675.907000005"/>
    <n v="55566486.635666668"/>
    <n v="49537440"/>
    <n v="117605552"/>
    <x v="0"/>
    <n v="180"/>
    <n v="0"/>
    <n v="0"/>
    <n v="0"/>
  </r>
  <r>
    <n v="485"/>
    <x v="3"/>
    <s v="P37ACNSP"/>
    <s v="ACNES STARTER PACK"/>
    <x v="2"/>
    <n v="32850"/>
    <n v="4316.6666666666797"/>
    <n v="5538.4870000000001"/>
    <n v="4453.1623333333328"/>
    <n v="6455"/>
    <n v="1128"/>
    <n v="456"/>
    <n v="2472"/>
    <n v="5328"/>
    <n v="1944"/>
    <n v="24"/>
    <n v="60"/>
    <n v="10055"/>
    <n v="67.73837947519992"/>
    <n v="0"/>
    <n v="0"/>
    <n v="0"/>
    <n v="0"/>
    <n v="66.320373679019255"/>
    <n v="0"/>
    <n v="141802500.00000042"/>
    <n v="181939297.94999999"/>
    <n v="146286382.64999998"/>
    <n v="175024800"/>
    <n v="330306750"/>
    <n v="20669"/>
    <n v="0"/>
    <n v="89221183.333333597"/>
    <n v="114474987.803"/>
    <n v="92042412.267666653"/>
    <n v="110124432"/>
    <n v="207826795"/>
    <x v="0"/>
    <n v="0"/>
    <n v="0"/>
    <n v="0"/>
    <n v="0"/>
  </r>
  <r>
    <n v="486"/>
    <x v="3"/>
    <s v="P37ACOCB"/>
    <s v="ACNES OIL CONTROL FILM 50 LBR"/>
    <x v="2"/>
    <n v="31950"/>
    <n v="3229.0000000000095"/>
    <n v="3654.1189999999997"/>
    <n v="3229.706333333334"/>
    <n v="6156"/>
    <n v="864"/>
    <n v="432"/>
    <n v="1629"/>
    <n v="576"/>
    <n v="720"/>
    <n v="144"/>
    <n v="60"/>
    <n v="8649"/>
    <n v="80.33857361025288"/>
    <n v="888.53166666666766"/>
    <n v="0"/>
    <n v="310.98608333333368"/>
    <n v="288"/>
    <n v="54.421799340063828"/>
    <n v="9201600"/>
    <n v="103166550.0000003"/>
    <n v="116749102.05"/>
    <n v="103189117.35000002"/>
    <n v="18403200"/>
    <n v="276335550"/>
    <n v="20103"/>
    <n v="5789664"/>
    <n v="64912587.000000194"/>
    <n v="73458754.256999999"/>
    <n v="64926786.419000015"/>
    <n v="11579328"/>
    <n v="173870847"/>
    <x v="0"/>
    <n v="288"/>
    <n v="0"/>
    <n v="0"/>
    <n v="0"/>
  </r>
  <r>
    <n v="487"/>
    <x v="3"/>
    <s v="P37ACPLA"/>
    <s v="ACNES POWDER LOTION 100 ML"/>
    <x v="2"/>
    <n v="36000"/>
    <n v="1663.6666666666508"/>
    <n v="2225.0654999999997"/>
    <n v="1744.0218333333337"/>
    <n v="3241"/>
    <n v="204"/>
    <n v="0"/>
    <n v="246"/>
    <n v="1440"/>
    <n v="900"/>
    <n v="90"/>
    <n v="60"/>
    <n v="3691"/>
    <n v="63.491177623827525"/>
    <n v="582.10916666666708"/>
    <n v="0"/>
    <n v="203.73820833333346"/>
    <n v="180"/>
    <n v="53.083071112164014"/>
    <n v="6480000"/>
    <n v="59891999.999999426"/>
    <n v="80102357.999999985"/>
    <n v="62784786.000000015"/>
    <n v="51840000"/>
    <n v="132876000"/>
    <n v="22651"/>
    <n v="4077180"/>
    <n v="37683713.666666307"/>
    <n v="50399958.640499994"/>
    <n v="39503838.546833344"/>
    <n v="32617440"/>
    <n v="83604841"/>
    <x v="0"/>
    <n v="180"/>
    <n v="0"/>
    <n v="0"/>
    <n v="0"/>
  </r>
  <r>
    <n v="488"/>
    <x v="3"/>
    <s v="P37ACPNB"/>
    <s v="ACNES COMPACT PWD NATURAL BEIGE 14G"/>
    <x v="2"/>
    <n v="38700"/>
    <n v="1176.333333333328"/>
    <n v="1382.002"/>
    <n v="1470.000666666667"/>
    <n v="1328"/>
    <n v="456"/>
    <n v="72"/>
    <n v="48"/>
    <n v="1152"/>
    <n v="1296"/>
    <n v="72"/>
    <n v="60"/>
    <n v="1832"/>
    <n v="37.38773814615049"/>
    <n v="1338.003333333334"/>
    <n v="168"/>
    <n v="669.00166666666701"/>
    <n v="648"/>
    <n v="45.918305705983798"/>
    <n v="25077600"/>
    <n v="45524099.999999791"/>
    <n v="53483477.399999999"/>
    <n v="56889025.800000012"/>
    <n v="44582400"/>
    <n v="70898400"/>
    <n v="24350"/>
    <n v="15778800"/>
    <n v="28643716.666666538"/>
    <n v="33651748.699999996"/>
    <n v="35794516.233333342"/>
    <n v="28051200"/>
    <n v="44609200"/>
    <x v="0"/>
    <n v="480"/>
    <n v="0"/>
    <n v="96"/>
    <n v="384"/>
  </r>
  <r>
    <n v="489"/>
    <x v="3"/>
    <s v="P37ACPSH"/>
    <s v="ACNES COMPACT PWD SWEETY HONEY 14G"/>
    <x v="2"/>
    <n v="38700"/>
    <n v="251.66666666666686"/>
    <n v="553.00500000000011"/>
    <n v="408.66833333333324"/>
    <n v="846"/>
    <n v="240"/>
    <n v="48"/>
    <n v="0"/>
    <n v="0"/>
    <n v="432"/>
    <n v="72"/>
    <n v="60"/>
    <n v="1086"/>
    <n v="79.722350235113254"/>
    <n v="284.3416666666667"/>
    <n v="480"/>
    <n v="480"/>
    <n v="504"/>
    <n v="76.124934237625467"/>
    <n v="19504800"/>
    <n v="9739500.0000000075"/>
    <n v="21401293.500000004"/>
    <n v="15815464.499999996"/>
    <n v="0"/>
    <n v="42028200"/>
    <n v="24350"/>
    <n v="12272400"/>
    <n v="6128083.3333333377"/>
    <n v="13465671.750000002"/>
    <n v="9951073.9166666642"/>
    <n v="0"/>
    <n v="26444100"/>
    <x v="0"/>
    <n v="24"/>
    <n v="0"/>
    <n v="0"/>
    <n v="0"/>
  </r>
  <r>
    <n v="490"/>
    <x v="3"/>
    <s v="P37ACSC3"/>
    <s v="ACNES SOFT COTTON 35 GR"/>
    <x v="2"/>
    <n v="7380"/>
    <n v="57571.333333333379"/>
    <n v="62207.711500000005"/>
    <n v="57688.570499999994"/>
    <n v="65623"/>
    <n v="18720"/>
    <n v="7488"/>
    <n v="10080"/>
    <n v="63936"/>
    <n v="28224"/>
    <n v="144"/>
    <n v="60"/>
    <n v="94423"/>
    <n v="49.103140803254959"/>
    <n v="19225.852499999979"/>
    <n v="0"/>
    <n v="6729.0483749999921"/>
    <n v="6768"/>
    <n v="53.521497035534971"/>
    <n v="49947840"/>
    <n v="424876440.00000036"/>
    <n v="459092910.87000006"/>
    <n v="425741650.28999996"/>
    <n v="471847680"/>
    <n v="696841740"/>
    <n v="4644"/>
    <n v="31430592"/>
    <n v="267361272.00000021"/>
    <n v="288892612.20600003"/>
    <n v="267905721.40199998"/>
    <n v="296918784"/>
    <n v="438500412"/>
    <x v="0"/>
    <n v="6768"/>
    <n v="0"/>
    <n v="0"/>
    <n v="0"/>
  </r>
  <r>
    <n v="491"/>
    <x v="3"/>
    <s v="P37ACSCA"/>
    <s v="ACNES SPORT CARE 12 GR"/>
    <x v="2"/>
    <n v="35550"/>
    <n v="12234.66666666671"/>
    <n v="13912.9275"/>
    <n v="12558.309166666673"/>
    <n v="19493"/>
    <n v="1920"/>
    <n v="720"/>
    <n v="720"/>
    <n v="12000"/>
    <n v="4560"/>
    <n v="240"/>
    <n v="60"/>
    <n v="22133"/>
    <n v="52.87256359020197"/>
    <n v="4896.5458333333445"/>
    <n v="0"/>
    <n v="1713.7910416666705"/>
    <n v="1680"/>
    <n v="52.31613318963916"/>
    <n v="59724000"/>
    <n v="434942400.00000155"/>
    <n v="494604572.625"/>
    <n v="446447890.87500024"/>
    <n v="426600000"/>
    <n v="786828150"/>
    <n v="22368"/>
    <n v="37578240"/>
    <n v="273665024.00000095"/>
    <n v="311204362.31999999"/>
    <n v="280904259.44000018"/>
    <n v="268416000"/>
    <n v="495070944"/>
    <x v="0"/>
    <n v="1680"/>
    <n v="0"/>
    <n v="0"/>
    <n v="0"/>
  </r>
  <r>
    <n v="492"/>
    <x v="3"/>
    <s v="P37ACSJA"/>
    <s v="ACNES SEALING JELL 9 GR"/>
    <x v="2"/>
    <n v="19800"/>
    <n v="31008.66666666677"/>
    <n v="34230.92"/>
    <n v="31703.306666666664"/>
    <n v="22410"/>
    <n v="0"/>
    <n v="0"/>
    <n v="36400"/>
    <n v="32400"/>
    <n v="38000"/>
    <n v="400"/>
    <n v="60"/>
    <n v="58810"/>
    <n v="55.650346462282805"/>
    <n v="6427.5333333333256"/>
    <n v="0"/>
    <n v="2249.6366666666636"/>
    <n v="2400"/>
    <n v="56.188851804312328"/>
    <n v="47520000"/>
    <n v="613971600.00000203"/>
    <n v="677772216"/>
    <n v="627725472"/>
    <n v="641520000"/>
    <n v="1164438000"/>
    <n v="12458"/>
    <n v="29899200"/>
    <n v="386305969.33333462"/>
    <n v="426448801.35999995"/>
    <n v="394959794.45333332"/>
    <n v="403639200"/>
    <n v="732654980"/>
    <x v="0"/>
    <n v="2400"/>
    <n v="0"/>
    <n v="0"/>
    <n v="0"/>
  </r>
  <r>
    <n v="493"/>
    <x v="3"/>
    <s v="P37ACSJB"/>
    <s v="ACNES SEALING JELL 18 GR"/>
    <x v="2"/>
    <n v="31365"/>
    <n v="10532.000000000007"/>
    <n v="12071.99"/>
    <n v="10650.33"/>
    <n v="13221"/>
    <n v="240"/>
    <n v="2400"/>
    <n v="4885"/>
    <n v="8400"/>
    <n v="7920"/>
    <n v="240"/>
    <n v="60"/>
    <n v="18346"/>
    <n v="51.677271971854395"/>
    <n v="6626.6500000000015"/>
    <n v="0"/>
    <n v="2319.3275000000003"/>
    <n v="2400"/>
    <n v="48.094312570596415"/>
    <n v="75276000"/>
    <n v="330336180.00000024"/>
    <n v="378637966.34999996"/>
    <n v="334047600.44999999"/>
    <n v="263466000"/>
    <n v="575422290"/>
    <n v="19735"/>
    <n v="47364000"/>
    <n v="207849020.00000015"/>
    <n v="238240722.65000001"/>
    <n v="210184262.55000001"/>
    <n v="165774000"/>
    <n v="362058310"/>
    <x v="0"/>
    <n v="2400"/>
    <n v="0"/>
    <n v="0"/>
    <n v="0"/>
  </r>
  <r>
    <n v="494"/>
    <x v="3"/>
    <s v="P37ACTTA"/>
    <s v="ACNES TEA TREE OIL CLAY MASK 50 GR"/>
    <x v="2"/>
    <n v="35550"/>
    <n v="1542.9999999999991"/>
    <n v="2073.9445000000001"/>
    <n v="1646.3148333333331"/>
    <n v="2916"/>
    <n v="924"/>
    <n v="0"/>
    <n v="120"/>
    <n v="960"/>
    <n v="1560"/>
    <n v="120"/>
    <n v="60"/>
    <n v="3960"/>
    <n v="72.161167229151914"/>
    <n v="446.57416666666631"/>
    <n v="480"/>
    <n v="480"/>
    <n v="480"/>
    <n v="60.609102815389008"/>
    <n v="17064000"/>
    <n v="54853649.99999997"/>
    <n v="73728726.975000009"/>
    <n v="58526492.324999996"/>
    <n v="34128000"/>
    <n v="140778000"/>
    <n v="22368"/>
    <n v="10736640"/>
    <n v="34513823.999999978"/>
    <n v="46389990.576000005"/>
    <n v="36824770.191999994"/>
    <n v="21473280"/>
    <n v="88577280"/>
    <x v="0"/>
    <n v="0"/>
    <n v="0"/>
    <n v="0"/>
    <n v="0"/>
  </r>
  <r>
    <n v="495"/>
    <x v="3"/>
    <s v="P37AOCMP"/>
    <s v="ACNES OIL CONTROL MASK 24 ML"/>
    <x v="2"/>
    <n v="20700"/>
    <n v="2853.9999999999977"/>
    <n v="3143.0369999999998"/>
    <n v="2940.0123333333331"/>
    <n v="4206"/>
    <n v="144"/>
    <n v="0"/>
    <n v="930"/>
    <n v="1728"/>
    <n v="2592"/>
    <n v="144"/>
    <n v="60"/>
    <n v="5280"/>
    <n v="53.877325004418921"/>
    <n v="2015.0616666666665"/>
    <n v="0"/>
    <n v="705.27158333333318"/>
    <n v="720"/>
    <n v="46.785140470499165"/>
    <n v="14904000"/>
    <n v="59077799.999999955"/>
    <n v="65060865.899999999"/>
    <n v="60858255.299999997"/>
    <n v="35769600"/>
    <n v="109296000"/>
    <n v="13024"/>
    <n v="9377280"/>
    <n v="37170495.99999997"/>
    <n v="40934913.887999997"/>
    <n v="38290720.629333332"/>
    <n v="22505472"/>
    <n v="68766720"/>
    <x v="0"/>
    <n v="720"/>
    <n v="0"/>
    <n v="0"/>
    <n v="78"/>
  </r>
  <r>
    <n v="496"/>
    <x v="3"/>
    <s v="P37AWB80"/>
    <s v="ACNES WASHING BAR 80GR"/>
    <x v="2"/>
    <n v="9900"/>
    <n v="10753.333333333296"/>
    <n v="10678.125"/>
    <n v="10398.708333333334"/>
    <n v="12828"/>
    <n v="1728"/>
    <n v="1044"/>
    <n v="1548"/>
    <n v="8748"/>
    <n v="3276"/>
    <n v="36"/>
    <n v="60"/>
    <n v="16104"/>
    <n v="46.459616378636767"/>
    <n v="6623.5416666666679"/>
    <n v="0"/>
    <n v="2318.2395833333335"/>
    <n v="2304"/>
    <n v="47.538235918723878"/>
    <n v="22809600"/>
    <n v="106457999.99999963"/>
    <n v="105713437.5"/>
    <n v="102947212.5"/>
    <n v="86605200"/>
    <n v="159429600"/>
    <n v="6229"/>
    <n v="14351616"/>
    <n v="66982513.333333097"/>
    <n v="66514040.625"/>
    <n v="64773554.208333336"/>
    <n v="54491292"/>
    <n v="100311816"/>
    <x v="0"/>
    <n v="2304"/>
    <n v="0"/>
    <n v="0"/>
    <n v="0"/>
  </r>
  <r>
    <n v="497"/>
    <x v="3"/>
    <s v="P37DMAB2"/>
    <s v="ACNES DERMA ANTI BLEMISH ESS 20ML"/>
    <x v="2"/>
    <n v="73350"/>
    <n v="313.99999999999972"/>
    <n v="664.26"/>
    <n v="437.4199999999999"/>
    <n v="1019"/>
    <n v="192"/>
    <n v="0"/>
    <n v="0"/>
    <n v="0"/>
    <n v="408"/>
    <n v="24"/>
    <n v="60"/>
    <n v="1211"/>
    <n v="83.055187234237138"/>
    <n v="328.09999999999991"/>
    <n v="408"/>
    <n v="408"/>
    <n v="408"/>
    <n v="65.479859174249015"/>
    <n v="29926800"/>
    <n v="23031899.999999978"/>
    <n v="48723471"/>
    <n v="32084756.999999993"/>
    <n v="0"/>
    <n v="88826850"/>
    <n v="46152"/>
    <n v="18830016"/>
    <n v="14491727.999999987"/>
    <n v="30656927.52"/>
    <n v="20187807.839999996"/>
    <n v="0"/>
    <n v="55890072"/>
    <x v="0"/>
    <n v="0"/>
    <n v="0"/>
    <n v="0"/>
    <n v="0"/>
  </r>
  <r>
    <n v="498"/>
    <x v="3"/>
    <s v="P37DMGC1"/>
    <s v="ACNES DERMA GENT CLEANSER 120ML"/>
    <x v="2"/>
    <n v="56250"/>
    <n v="1098.3333333333303"/>
    <n v="1645.65"/>
    <n v="1296.2166666666667"/>
    <n v="2456"/>
    <n v="288"/>
    <n v="216"/>
    <n v="624"/>
    <n v="0"/>
    <n v="192"/>
    <n v="24"/>
    <n v="60"/>
    <n v="3368"/>
    <n v="77.949931210060043"/>
    <n v="870.08333333333394"/>
    <n v="0"/>
    <n v="304.52916666666687"/>
    <n v="312"/>
    <n v="47.083563704627565"/>
    <n v="17550000"/>
    <n v="61781249.999999829"/>
    <n v="92567812.5"/>
    <n v="72912187.5"/>
    <n v="0"/>
    <n v="189450000"/>
    <n v="35393"/>
    <n v="11042616"/>
    <n v="38873311.66666656"/>
    <n v="58244490.450000003"/>
    <n v="45876996.483333334"/>
    <n v="0"/>
    <n v="119203624"/>
    <x v="0"/>
    <n v="312"/>
    <n v="0"/>
    <n v="0"/>
    <n v="0"/>
  </r>
  <r>
    <n v="499"/>
    <x v="3"/>
    <s v="P37GFCM5"/>
    <s v="HL GOKUJYUN FACE MIST 50 ML"/>
    <x v="2"/>
    <n v="40455"/>
    <n v="1434.6666666666695"/>
    <n v="1740.6375"/>
    <n v="1534.8791666666671"/>
    <n v="1820"/>
    <n v="216"/>
    <n v="0"/>
    <n v="0"/>
    <n v="1026"/>
    <n v="1080"/>
    <n v="18"/>
    <n v="60"/>
    <n v="2036"/>
    <n v="39.79466353214557"/>
    <n v="1748.3958333333339"/>
    <n v="54"/>
    <n v="1486.1364583333338"/>
    <n v="1494"/>
    <n v="55.027703049371411"/>
    <n v="60439770"/>
    <n v="58039440.000000112"/>
    <n v="70417490.0625"/>
    <n v="62093536.687500015"/>
    <n v="41506830"/>
    <n v="82366380"/>
    <n v="25454"/>
    <n v="38028276"/>
    <n v="36518005.333333403"/>
    <n v="44306186.925000004"/>
    <n v="39068814.308333345"/>
    <n v="26115804"/>
    <n v="51824344"/>
    <x v="0"/>
    <n v="1440"/>
    <n v="0"/>
    <n v="0"/>
    <n v="0"/>
  </r>
  <r>
    <n v="500"/>
    <x v="3"/>
    <s v="P37HASPA"/>
    <s v="HL GOKUJYUN ALFA STARTER PACK 20GR"/>
    <x v="2"/>
    <n v="41850"/>
    <n v="3889.6666666666733"/>
    <n v="4123.5675000000001"/>
    <n v="3666.5225"/>
    <n v="5088"/>
    <n v="570"/>
    <n v="198"/>
    <n v="1380"/>
    <n v="2982"/>
    <n v="1338"/>
    <n v="6"/>
    <n v="60"/>
    <n v="7038"/>
    <n v="57.585900536543818"/>
    <n v="1436.6124999999993"/>
    <n v="0"/>
    <n v="502.8143749999997"/>
    <n v="504"/>
    <n v="52.369234063066571"/>
    <n v="21092400"/>
    <n v="162782550.00000027"/>
    <n v="172571299.875"/>
    <n v="153443966.625"/>
    <n v="124796700"/>
    <n v="294540300"/>
    <n v="26332"/>
    <n v="13271328"/>
    <n v="102422702.66666684"/>
    <n v="108581779.41"/>
    <n v="96546870.469999999"/>
    <n v="78522024"/>
    <n v="185324616"/>
    <x v="0"/>
    <n v="504"/>
    <n v="0"/>
    <n v="0"/>
    <n v="0"/>
  </r>
  <r>
    <n v="501"/>
    <x v="3"/>
    <s v="P37HFW05"/>
    <s v="HL GOKUJYUN ULT MOIST FW50GR"/>
    <x v="3"/>
    <n v="24750"/>
    <n v="427015.99999999959"/>
    <n v="405041.67000000004"/>
    <n v="374073.88999999996"/>
    <n v="516706"/>
    <n v="88968"/>
    <n v="24168"/>
    <n v="186264"/>
    <n v="193656"/>
    <n v="108624"/>
    <n v="24"/>
    <n v="60"/>
    <n v="791938"/>
    <n v="63.51189065882145"/>
    <n v="167595.44999999995"/>
    <n v="0"/>
    <n v="58658.407499999979"/>
    <n v="58656"/>
    <n v="51.263267532518782"/>
    <n v="1451736000"/>
    <n v="10568645999.99999"/>
    <n v="10024781332.500002"/>
    <n v="9258328777.4999981"/>
    <n v="4792986000"/>
    <n v="19600465500"/>
    <n v="15573"/>
    <n v="913449888"/>
    <n v="6649920167.9999933"/>
    <n v="6307713926.9100008"/>
    <n v="5825452688.9699993"/>
    <n v="3015804888"/>
    <n v="12332850474"/>
    <x v="0"/>
    <n v="58656"/>
    <n v="0"/>
    <n v="0"/>
    <n v="0"/>
  </r>
  <r>
    <n v="502"/>
    <x v="3"/>
    <s v="P37HFW10"/>
    <s v="HL GOKUJYUN ULT MOIST FW 100GR"/>
    <x v="3"/>
    <n v="40950"/>
    <n v="448617.9999999975"/>
    <n v="429901.32"/>
    <n v="397622.44000000012"/>
    <n v="487141"/>
    <n v="86232"/>
    <n v="22416"/>
    <n v="243363"/>
    <n v="163392"/>
    <n v="162480"/>
    <n v="24"/>
    <n v="60"/>
    <n v="816736"/>
    <n v="61.621471866628028"/>
    <n v="245018.20000000019"/>
    <n v="0"/>
    <n v="85756.370000000054"/>
    <n v="85752"/>
    <n v="47.983610784139827"/>
    <n v="3511544400"/>
    <n v="18370907099.999897"/>
    <n v="17604459054"/>
    <n v="16282638918.000006"/>
    <n v="6690902400"/>
    <n v="33445339200"/>
    <n v="25766"/>
    <n v="2209486032"/>
    <n v="11559091387.999935"/>
    <n v="11076837411.120001"/>
    <n v="10245139789.040003"/>
    <n v="4209958272"/>
    <n v="21044019776"/>
    <x v="0"/>
    <n v="85752"/>
    <n v="0"/>
    <n v="0"/>
    <n v="0"/>
  </r>
  <r>
    <n v="503"/>
    <x v="3"/>
    <s v="P37HGCOA"/>
    <s v="HL GOKJ MA CLEANSING OIL 100ML"/>
    <x v="2"/>
    <n v="63450"/>
    <n v="10361.333333333341"/>
    <n v="10855.447"/>
    <n v="10077.148999999998"/>
    <n v="13876"/>
    <n v="1908"/>
    <n v="432"/>
    <n v="5443"/>
    <n v="4248"/>
    <n v="3474"/>
    <n v="18"/>
    <n v="60"/>
    <n v="21227"/>
    <n v="63.193468708262643"/>
    <n v="5534.7449999999953"/>
    <n v="0"/>
    <n v="1937.1607499999982"/>
    <n v="1944"/>
    <n v="49.310235464415591"/>
    <n v="123346800"/>
    <n v="657426600.00000048"/>
    <n v="688778112.14999998"/>
    <n v="639395104.04999983"/>
    <n v="269535600"/>
    <n v="1346853150"/>
    <n v="39923"/>
    <n v="77610312"/>
    <n v="413655510.66666698"/>
    <n v="433382010.58100003"/>
    <n v="402310019.52699989"/>
    <n v="169592904"/>
    <n v="847445521"/>
    <x v="0"/>
    <n v="1944"/>
    <n v="0"/>
    <n v="0"/>
    <n v="0"/>
  </r>
  <r>
    <n v="504"/>
    <x v="3"/>
    <s v="P37HGKP1"/>
    <s v="HADALABO GOKUJYUN PREMIUM 100ML"/>
    <x v="3"/>
    <n v="78750"/>
    <n v="21762.333333333307"/>
    <n v="21018"/>
    <n v="20690.000000000004"/>
    <n v="23641"/>
    <n v="3006"/>
    <n v="1422"/>
    <n v="7181"/>
    <n v="12654"/>
    <n v="8784"/>
    <n v="18"/>
    <n v="60"/>
    <n v="33828"/>
    <n v="49.049782503624932"/>
    <n v="15916.000000000007"/>
    <n v="0"/>
    <n v="5570.6000000000022"/>
    <n v="5562"/>
    <n v="44.986950217496371"/>
    <n v="438007500"/>
    <n v="1713783749.9999979"/>
    <n v="1655167500"/>
    <n v="1629337500.0000002"/>
    <n v="996502500"/>
    <n v="2663955000"/>
    <n v="49550"/>
    <n v="275597100"/>
    <n v="1078323616.6666653"/>
    <n v="1041441900"/>
    <n v="1025189500.0000002"/>
    <n v="627005700"/>
    <n v="1676177400"/>
    <x v="0"/>
    <n v="5562"/>
    <n v="0"/>
    <n v="0"/>
    <n v="0"/>
  </r>
  <r>
    <n v="505"/>
    <x v="3"/>
    <s v="P37HGML1"/>
    <s v="HL GOKUJYUN ULT MOIST LOTION 100ML"/>
    <x v="3"/>
    <n v="42750"/>
    <n v="31264.666666666704"/>
    <n v="29434.33"/>
    <n v="29261.443333333336"/>
    <n v="36668"/>
    <n v="4680"/>
    <n v="1530"/>
    <n v="13251"/>
    <n v="18810"/>
    <n v="8964"/>
    <n v="18"/>
    <n v="60"/>
    <n v="54599"/>
    <n v="55.977074723928517"/>
    <n v="14548.216666666674"/>
    <n v="0"/>
    <n v="5091.8758333333353"/>
    <n v="5094"/>
    <n v="50.30715960354199"/>
    <n v="217768500"/>
    <n v="1336564500.0000017"/>
    <n v="1258317607.5"/>
    <n v="1250926702.5000002"/>
    <n v="804127500"/>
    <n v="2334107250"/>
    <n v="26898"/>
    <n v="137018412"/>
    <n v="840957004.00000095"/>
    <n v="791724608.34000003"/>
    <n v="787074302.78000009"/>
    <n v="505951380"/>
    <n v="1468603902"/>
    <x v="0"/>
    <n v="5094"/>
    <n v="0"/>
    <n v="0"/>
    <n v="0"/>
  </r>
  <r>
    <n v="506"/>
    <x v="3"/>
    <s v="P37HGMLL"/>
    <s v="HL GOKUJYUN ULT MOIST LIGHT.L100ML"/>
    <x v="3"/>
    <n v="42750"/>
    <n v="24821.999999999989"/>
    <n v="24432"/>
    <n v="23473.333333333332"/>
    <n v="34435"/>
    <n v="2754"/>
    <n v="1080"/>
    <n v="12452"/>
    <n v="13824"/>
    <n v="5310"/>
    <n v="18"/>
    <n v="60"/>
    <n v="49641"/>
    <n v="63.443481965350749"/>
    <n v="7913.666666666657"/>
    <n v="0"/>
    <n v="2769.7833333333297"/>
    <n v="2772"/>
    <n v="53.428713433683612"/>
    <n v="118503000"/>
    <n v="1061140499.9999995"/>
    <n v="1044468000"/>
    <n v="1003485000"/>
    <n v="590976000"/>
    <n v="2122152750"/>
    <n v="26898"/>
    <n v="74561256"/>
    <n v="667662155.99999976"/>
    <n v="657171936"/>
    <n v="631385720"/>
    <n v="371837952"/>
    <n v="1335243618"/>
    <x v="0"/>
    <n v="2772"/>
    <n v="0"/>
    <n v="0"/>
    <n v="0"/>
  </r>
  <r>
    <n v="507"/>
    <x v="3"/>
    <s v="P37HGMM1"/>
    <s v="HL GOKUJYUN ULT MOIST MILK100ML"/>
    <x v="3"/>
    <n v="51750"/>
    <n v="52578.666666666555"/>
    <n v="49673.66"/>
    <n v="48987.886666666665"/>
    <n v="51913"/>
    <n v="10224"/>
    <n v="3528"/>
    <n v="21096"/>
    <n v="29700"/>
    <n v="21492"/>
    <n v="18"/>
    <n v="60"/>
    <n v="83233"/>
    <n v="50.971580321284868"/>
    <n v="34716.433333333349"/>
    <n v="0"/>
    <n v="12150.751666666671"/>
    <n v="12150"/>
    <n v="46.180399970986024"/>
    <n v="628762500"/>
    <n v="2720945999.9999943"/>
    <n v="2570611905"/>
    <n v="2535123135"/>
    <n v="1536975000"/>
    <n v="4307307750"/>
    <n v="32561"/>
    <n v="395616150"/>
    <n v="1712013965.3333297"/>
    <n v="1617424043.2600002"/>
    <n v="1595094577.7533333"/>
    <n v="967061700"/>
    <n v="2710149713"/>
    <x v="0"/>
    <n v="12150"/>
    <n v="0"/>
    <n v="0"/>
    <n v="0"/>
  </r>
  <r>
    <n v="508"/>
    <x v="3"/>
    <s v="P37HGSPA"/>
    <s v="HL GOKUJYUN STARTER PACK 20GR"/>
    <x v="2"/>
    <n v="41850"/>
    <n v="7391.666666666586"/>
    <n v="7166.8880000000008"/>
    <n v="7175.6293333333342"/>
    <n v="8328"/>
    <n v="1392"/>
    <n v="288"/>
    <n v="2486"/>
    <n v="2292"/>
    <n v="3486"/>
    <n v="6"/>
    <n v="60"/>
    <n v="12206"/>
    <n v="51.031064034894399"/>
    <n v="7020.1466666666674"/>
    <n v="0"/>
    <n v="2457.0513333333333"/>
    <n v="2460"/>
    <n v="40.934856910111662"/>
    <n v="102951000"/>
    <n v="309341249.9999966"/>
    <n v="299934262.80000001"/>
    <n v="300300087.60000002"/>
    <n v="95920200"/>
    <n v="510821100"/>
    <n v="26332"/>
    <n v="64776720"/>
    <n v="194637366.66666454"/>
    <n v="188718494.81600001"/>
    <n v="188948671.60533336"/>
    <n v="60352944"/>
    <n v="321408392"/>
    <x v="0"/>
    <n v="2460"/>
    <n v="0"/>
    <n v="0"/>
    <n v="0"/>
  </r>
  <r>
    <n v="509"/>
    <x v="3"/>
    <s v="P37HL3D4"/>
    <s v="HADA LABO 3 D 40GR"/>
    <x v="3"/>
    <n v="103950"/>
    <n v="33759.666666666461"/>
    <n v="35517.33"/>
    <n v="34088.776666666658"/>
    <n v="34293"/>
    <n v="8280"/>
    <n v="2268"/>
    <n v="11933"/>
    <n v="30060"/>
    <n v="17892"/>
    <n v="18"/>
    <n v="60"/>
    <n v="54506"/>
    <n v="47.968280469241449"/>
    <n v="19128.883333333317"/>
    <n v="0"/>
    <n v="6695.1091666666607"/>
    <n v="6696"/>
    <n v="49.05837825606924"/>
    <n v="696049200"/>
    <n v="3509317349.9999785"/>
    <n v="3692026453.5"/>
    <n v="3543528334.499999"/>
    <n v="3124737000"/>
    <n v="5665898700"/>
    <n v="65405"/>
    <n v="437951880"/>
    <n v="2208050998.3333197"/>
    <n v="2323010968.6500001"/>
    <n v="2229576437.8833327"/>
    <n v="1966074300"/>
    <n v="3564964930"/>
    <x v="0"/>
    <n v="6696"/>
    <n v="0"/>
    <n v="0"/>
    <n v="0"/>
  </r>
  <r>
    <n v="510"/>
    <x v="3"/>
    <s v="P37HLGEA"/>
    <s v="HL GOKUJYUN ALFA ESSENCE 30 GR"/>
    <x v="2"/>
    <n v="129600"/>
    <n v="249.00000000000134"/>
    <n v="585.54999999999995"/>
    <n v="326.18333333333334"/>
    <n v="1731"/>
    <n v="126"/>
    <n v="0"/>
    <n v="498"/>
    <n v="0"/>
    <n v="90"/>
    <n v="18"/>
    <n v="60"/>
    <n v="2355"/>
    <n v="216.59598385366104"/>
    <n v="0"/>
    <n v="0"/>
    <n v="0"/>
    <n v="0"/>
    <n v="162.74130090439937"/>
    <n v="0"/>
    <n v="32270400.000000171"/>
    <n v="75887280"/>
    <n v="42273360"/>
    <n v="0"/>
    <n v="305208000"/>
    <n v="81544"/>
    <n v="0"/>
    <n v="20304456.000000108"/>
    <n v="47748089.199999996"/>
    <n v="26598293.733333334"/>
    <n v="0"/>
    <n v="192036120"/>
    <x v="0"/>
    <n v="0"/>
    <n v="0"/>
    <n v="0"/>
    <n v="0"/>
  </r>
  <r>
    <n v="511"/>
    <x v="3"/>
    <s v="P37HLGLA"/>
    <s v="HL GOKUJYUN ALFA LOTION 100 ML"/>
    <x v="2"/>
    <n v="52650"/>
    <n v="6391.6666666666724"/>
    <n v="5631.433"/>
    <n v="6673.4776666666667"/>
    <n v="5516"/>
    <n v="1368"/>
    <n v="144"/>
    <n v="522"/>
    <n v="1620"/>
    <n v="3060"/>
    <n v="18"/>
    <n v="60"/>
    <n v="7406"/>
    <n v="33.292986220627697"/>
    <n v="9952.3883333333324"/>
    <n v="1062"/>
    <n v="8459.5300833333331"/>
    <n v="8460"/>
    <n v="53.291106640900324"/>
    <n v="445419000"/>
    <n v="336521250.0000003"/>
    <n v="296494947.44999999"/>
    <n v="351358599.14999998"/>
    <n v="85293000"/>
    <n v="389925900"/>
    <n v="33127"/>
    <n v="280254420"/>
    <n v="211736741.66666687"/>
    <n v="186552480.991"/>
    <n v="221072294.66366667"/>
    <n v="53665740"/>
    <n v="245338562"/>
    <x v="0"/>
    <n v="7398"/>
    <n v="0"/>
    <n v="396"/>
    <n v="1134"/>
  </r>
  <r>
    <n v="512"/>
    <x v="3"/>
    <s v="P37HLGMA"/>
    <s v="HL GOKUJYUN ALFA MILK 100 ML"/>
    <x v="2"/>
    <n v="59400"/>
    <n v="6194.9999999999691"/>
    <n v="5880.6965"/>
    <n v="5830.2321666666667"/>
    <n v="1395"/>
    <n v="3888"/>
    <n v="1566"/>
    <n v="1284"/>
    <n v="4248"/>
    <n v="4122"/>
    <n v="18"/>
    <n v="60"/>
    <n v="6567"/>
    <n v="33.791107175177387"/>
    <n v="6726.1608333333352"/>
    <n v="156"/>
    <n v="5717.2367083333347"/>
    <n v="5724"/>
    <n v="54.843288544855831"/>
    <n v="340005600"/>
    <n v="367982999.99999815"/>
    <n v="349313372.10000002"/>
    <n v="346315790.69999999"/>
    <n v="252331200"/>
    <n v="390079800"/>
    <n v="37374"/>
    <n v="213928776"/>
    <n v="231531929.99999884"/>
    <n v="219785150.991"/>
    <n v="217899096.99700001"/>
    <n v="158764752"/>
    <n v="245435058"/>
    <x v="0"/>
    <n v="5568"/>
    <n v="0"/>
    <n v="0"/>
    <n v="0"/>
  </r>
  <r>
    <n v="513"/>
    <x v="3"/>
    <s v="P37HLTMA"/>
    <s v="HL TAMAGOHADA FW MAKE UP R. 50 GR"/>
    <x v="2"/>
    <n v="34695"/>
    <n v="9933.3333333333849"/>
    <n v="10862.7"/>
    <n v="9923.5666666666657"/>
    <n v="14571"/>
    <n v="1680"/>
    <n v="1176"/>
    <n v="2192"/>
    <n v="8904"/>
    <n v="2808"/>
    <n v="24"/>
    <n v="60"/>
    <n v="18443"/>
    <n v="55.755155236524509"/>
    <n v="3362.8333333333321"/>
    <n v="0"/>
    <n v="1176.9916666666661"/>
    <n v="1176"/>
    <n v="53.388969691676721"/>
    <n v="40801320"/>
    <n v="344637000.00000179"/>
    <n v="376881376.5"/>
    <n v="344298145.49999994"/>
    <n v="308924280"/>
    <n v="639879885"/>
    <n v="21830"/>
    <n v="25672080"/>
    <n v="216844666.66666779"/>
    <n v="237132741.00000003"/>
    <n v="216631460.33333331"/>
    <n v="194374320"/>
    <n v="402610690"/>
    <x v="0"/>
    <n v="1176"/>
    <n v="0"/>
    <n v="0"/>
    <n v="0"/>
  </r>
  <r>
    <n v="514"/>
    <x v="3"/>
    <s v="P37HLTMB"/>
    <s v="HL TAMAGOHADA FW MAKE UP R. 100 GR"/>
    <x v="2"/>
    <n v="57600"/>
    <n v="13688.666666666726"/>
    <n v="15190.434499999999"/>
    <n v="13661.811499999996"/>
    <n v="19709"/>
    <n v="1944"/>
    <n v="1272"/>
    <n v="5735"/>
    <n v="12288"/>
    <n v="4248"/>
    <n v="24"/>
    <n v="60"/>
    <n v="27388"/>
    <n v="60.141365586840394"/>
    <n v="2838.0574999999953"/>
    <n v="0"/>
    <n v="993.32012499999826"/>
    <n v="984"/>
    <n v="55.928671318587604"/>
    <n v="56678400"/>
    <n v="788467200.00000346"/>
    <n v="874969027.19999993"/>
    <n v="786920342.39999974"/>
    <n v="707788800"/>
    <n v="1577548800"/>
    <n v="36242"/>
    <n v="35662128"/>
    <n v="496104657.33333546"/>
    <n v="550531727.14899993"/>
    <n v="495131372.38299984"/>
    <n v="445341696"/>
    <n v="992595896"/>
    <x v="0"/>
    <n v="984"/>
    <n v="0"/>
    <n v="0"/>
    <n v="0"/>
  </r>
  <r>
    <n v="515"/>
    <x v="3"/>
    <s v="P37HLTWA"/>
    <s v="HL TAMAGOHADA FACE WASH 50 GR"/>
    <x v="2"/>
    <n v="30240"/>
    <n v="28928.000000000229"/>
    <n v="32896.611499999999"/>
    <n v="28062.203833333329"/>
    <n v="40577"/>
    <n v="5112"/>
    <n v="2976"/>
    <n v="20647"/>
    <n v="20928"/>
    <n v="8760"/>
    <n v="24"/>
    <n v="60"/>
    <n v="66336"/>
    <n v="70.91673953405288"/>
    <n v="1757.0191666666651"/>
    <n v="0"/>
    <n v="614.9567083333327"/>
    <n v="624"/>
    <n v="58.788741782296356"/>
    <n v="18869760"/>
    <n v="874782720.00000691"/>
    <n v="994793531.75999999"/>
    <n v="848601043.91999984"/>
    <n v="632862720"/>
    <n v="2006000640"/>
    <n v="19027"/>
    <n v="11872848"/>
    <n v="550413056.00000441"/>
    <n v="625923827.01049995"/>
    <n v="533939552.33683324"/>
    <n v="398197056"/>
    <n v="1262175072"/>
    <x v="0"/>
    <n v="624"/>
    <n v="0"/>
    <n v="0"/>
    <n v="0"/>
  </r>
  <r>
    <n v="516"/>
    <x v="3"/>
    <s v="P37HLTWB"/>
    <s v="HL TAMAGOHADA FACE WASH 100 GR"/>
    <x v="3"/>
    <n v="49500"/>
    <n v="31408.333333333354"/>
    <n v="31779.660000000003"/>
    <n v="29871.553333333337"/>
    <n v="40334"/>
    <n v="5376"/>
    <n v="1920"/>
    <n v="10853"/>
    <n v="21360"/>
    <n v="9264"/>
    <n v="24"/>
    <n v="60"/>
    <n v="56563"/>
    <n v="56.806218982474512"/>
    <n v="13599.766666666677"/>
    <n v="0"/>
    <n v="4759.9183333333367"/>
    <n v="4752"/>
    <n v="51.114188236612172"/>
    <n v="235224000"/>
    <n v="1554712500.000001"/>
    <n v="1573093170.0000002"/>
    <n v="1478641890.0000002"/>
    <n v="1057320000"/>
    <n v="2799868500"/>
    <n v="31145"/>
    <n v="148001040"/>
    <n v="978212541.66666734"/>
    <n v="989777510.70000017"/>
    <n v="930349528.56666672"/>
    <n v="665257200"/>
    <n v="1761654635"/>
    <x v="0"/>
    <n v="4752"/>
    <n v="0"/>
    <n v="0"/>
    <n v="0"/>
  </r>
  <r>
    <n v="517"/>
    <x v="3"/>
    <s v="P37HSSPA"/>
    <s v="HL SHIROJYUN STARTER PACK 20 GR"/>
    <x v="2"/>
    <n v="41850"/>
    <n v="9725.3333333333976"/>
    <n v="9936.8444999999992"/>
    <n v="9394.6148333333331"/>
    <n v="10506"/>
    <n v="2232"/>
    <n v="510"/>
    <n v="8368"/>
    <n v="3666"/>
    <n v="4014"/>
    <n v="6"/>
    <n v="60"/>
    <n v="21106"/>
    <n v="67.398186219768562"/>
    <n v="3954.0741666666654"/>
    <n v="0"/>
    <n v="1383.9259583333328"/>
    <n v="1386"/>
    <n v="51.799320529177628"/>
    <n v="58004100"/>
    <n v="407005200.00000268"/>
    <n v="415856942.32499999"/>
    <n v="393164630.77499998"/>
    <n v="153422100"/>
    <n v="883286100"/>
    <n v="26332"/>
    <n v="36496152"/>
    <n v="256087477.33333501"/>
    <n v="261656989.37399998"/>
    <n v="247378997.79133332"/>
    <n v="96533112"/>
    <n v="555763192"/>
    <x v="0"/>
    <n v="1386"/>
    <n v="0"/>
    <n v="0"/>
    <n v="0"/>
  </r>
  <r>
    <n v="518"/>
    <x v="3"/>
    <s v="P37JYPL1"/>
    <s v="HL SHIROJYUN PREMIUM LOTION 100 ML"/>
    <x v="2"/>
    <n v="86400"/>
    <n v="3956.3333333333135"/>
    <n v="3932.8650000000002"/>
    <n v="4050.2883333333334"/>
    <n v="2968"/>
    <n v="576"/>
    <n v="198"/>
    <n v="216"/>
    <n v="2664"/>
    <n v="3384"/>
    <n v="18"/>
    <n v="60"/>
    <n v="3760"/>
    <n v="27.849869124543808"/>
    <n v="5609.4416666666675"/>
    <n v="702"/>
    <n v="4768.0254166666673"/>
    <n v="4770"/>
    <n v="53.782356235543723"/>
    <n v="412128000"/>
    <n v="341827199.99999827"/>
    <n v="339799536"/>
    <n v="349944912"/>
    <n v="230169600"/>
    <n v="324864000"/>
    <n v="54363"/>
    <n v="259311510"/>
    <n v="215078148.99999893"/>
    <n v="213802339.995"/>
    <n v="220185824.66499999"/>
    <n v="144823032"/>
    <n v="204404880"/>
    <x v="0"/>
    <n v="4068"/>
    <n v="0"/>
    <n v="0"/>
    <n v="666"/>
  </r>
  <r>
    <n v="519"/>
    <x v="3"/>
    <s v="P37KGCA1"/>
    <s v="KHALISA GEL CLNSR SKIN OASIS 135GR"/>
    <x v="2"/>
    <n v="48240"/>
    <n v="39.666666666666799"/>
    <n v="341.66500000000002"/>
    <n v="121.88833333333336"/>
    <n v="1065"/>
    <n v="48"/>
    <n v="0"/>
    <n v="0"/>
    <n v="0"/>
    <n v="0"/>
    <n v="24"/>
    <n v="60"/>
    <n v="1113"/>
    <n v="273.93926134576725"/>
    <n v="0"/>
    <n v="0"/>
    <n v="0"/>
    <n v="0"/>
    <n v="189.84630741252235"/>
    <n v="0"/>
    <n v="1913520.0000000063"/>
    <n v="16481919.600000001"/>
    <n v="5879893.2000000011"/>
    <n v="0"/>
    <n v="53691120"/>
    <n v="30353"/>
    <n v="0"/>
    <n v="1204002.3333333374"/>
    <n v="10370557.745000001"/>
    <n v="3699676.5816666675"/>
    <n v="0"/>
    <n v="33782889"/>
    <x v="0"/>
    <n v="0"/>
    <n v="0"/>
    <n v="0"/>
    <n v="0"/>
  </r>
  <r>
    <n v="520"/>
    <x v="3"/>
    <s v="P37KPBG2"/>
    <s v="KHALISA PINK BUBBLE GUM 2.2 GR"/>
    <x v="1"/>
    <n v="23850"/>
    <n v="87.000000000000071"/>
    <n v="234"/>
    <n v="127"/>
    <n v="1079"/>
    <n v="0"/>
    <n v="0"/>
    <n v="48"/>
    <n v="0"/>
    <n v="0"/>
    <n v="72"/>
    <n v="60"/>
    <n v="1127"/>
    <n v="266.22047244094489"/>
    <n v="0"/>
    <n v="0"/>
    <n v="0"/>
    <n v="0"/>
    <n v="210.94488188976379"/>
    <n v="0"/>
    <n v="2074950.0000000016"/>
    <n v="5580900"/>
    <n v="3028950"/>
    <n v="0"/>
    <n v="26878950"/>
    <n v="15006"/>
    <n v="0"/>
    <n v="1305522.0000000012"/>
    <n v="3511404"/>
    <n v="1905762"/>
    <n v="0"/>
    <n v="16911762"/>
    <x v="0"/>
    <n v="0"/>
    <n v="0"/>
    <n v="0"/>
    <n v="0"/>
  </r>
  <r>
    <n v="521"/>
    <x v="3"/>
    <s v="P37KVSO4"/>
    <s v="KHALISA UV SKIN OASIS 40 GR"/>
    <x v="2"/>
    <n v="50040"/>
    <n v="481.3333333333303"/>
    <n v="713.76199999999994"/>
    <n v="631.92066666666688"/>
    <n v="1674"/>
    <n v="0"/>
    <n v="0"/>
    <n v="0"/>
    <n v="0"/>
    <n v="420"/>
    <n v="60"/>
    <n v="60"/>
    <n v="1674"/>
    <n v="79.472001232222169"/>
    <n v="303.60333333333369"/>
    <n v="420"/>
    <n v="420"/>
    <n v="420"/>
    <n v="65.525851873811149"/>
    <n v="21016800"/>
    <n v="24085919.999999847"/>
    <n v="35716650.479999997"/>
    <n v="31621310.160000011"/>
    <n v="0"/>
    <n v="83766960"/>
    <n v="31485"/>
    <n v="13223700"/>
    <n v="15154779.999999905"/>
    <n v="22472796.569999997"/>
    <n v="19896022.190000005"/>
    <n v="0"/>
    <n v="52705890"/>
    <x v="0"/>
    <n v="0"/>
    <n v="0"/>
    <n v="0"/>
    <n v="0"/>
  </r>
  <r>
    <n v="522"/>
    <x v="3"/>
    <s v="P37NCCWA"/>
    <s v="ANC ACNES COMPLETE WHITE FW 50G"/>
    <x v="3"/>
    <n v="18000"/>
    <n v="109878.33333333333"/>
    <n v="121439.34"/>
    <n v="111519.44666666668"/>
    <n v="150249"/>
    <n v="19920"/>
    <n v="17760"/>
    <n v="37920"/>
    <n v="128880"/>
    <n v="35640"/>
    <n v="120"/>
    <n v="60"/>
    <n v="208089"/>
    <n v="55.978308596342266"/>
    <n v="7509.2333333333954"/>
    <n v="0"/>
    <n v="2628.2316666666884"/>
    <n v="2640"/>
    <n v="58.690120832139463"/>
    <n v="47520000"/>
    <n v="1977810000"/>
    <n v="2185908120"/>
    <n v="2007350040.0000002"/>
    <n v="2319840000"/>
    <n v="3745602000"/>
    <n v="11326"/>
    <n v="29900640"/>
    <n v="1244482003.3333333"/>
    <n v="1375421964.8399999"/>
    <n v="1263069252.946667"/>
    <n v="1459694880"/>
    <n v="2356816014"/>
    <x v="0"/>
    <n v="2640"/>
    <n v="0"/>
    <n v="0"/>
    <n v="0"/>
  </r>
  <r>
    <n v="523"/>
    <x v="3"/>
    <s v="P37NCCWB"/>
    <s v="ANC ACNES COMPLETE WHITE FW 100G"/>
    <x v="3"/>
    <n v="29835"/>
    <n v="103506.99999999972"/>
    <n v="120296.67"/>
    <n v="109637.89"/>
    <n v="125155"/>
    <n v="34080"/>
    <n v="7680"/>
    <n v="7560"/>
    <n v="111840"/>
    <n v="57000"/>
    <n v="120"/>
    <n v="60"/>
    <n v="166795"/>
    <n v="45.639787485877378"/>
    <n v="60937.450000000012"/>
    <n v="0"/>
    <n v="21328.107500000002"/>
    <n v="21360"/>
    <n v="49.170500271393408"/>
    <n v="637275600"/>
    <n v="3088131344.9999919"/>
    <n v="3589051149.4499998"/>
    <n v="3271046448.1500001"/>
    <n v="3336746400"/>
    <n v="4976328825"/>
    <n v="18772"/>
    <n v="400969920"/>
    <n v="1943033403.9999948"/>
    <n v="2258209089.2399998"/>
    <n v="2058122471.0799999"/>
    <n v="2099460480"/>
    <n v="3131075740"/>
    <x v="0"/>
    <n v="21360"/>
    <n v="0"/>
    <n v="0"/>
    <n v="0"/>
  </r>
  <r>
    <n v="524"/>
    <x v="3"/>
    <s v="P37NCDPA"/>
    <s v="ANC ACNES DP CLEANSER FW 50G"/>
    <x v="2"/>
    <n v="18000"/>
    <n v="21479.666666666839"/>
    <n v="24582.488000000005"/>
    <n v="22246.162666666667"/>
    <n v="27351"/>
    <n v="7080"/>
    <n v="2640"/>
    <n v="5400"/>
    <n v="24600"/>
    <n v="10320"/>
    <n v="120"/>
    <n v="60"/>
    <n v="39831"/>
    <n v="53.71398285199389"/>
    <n v="4643.813333333339"/>
    <n v="0"/>
    <n v="1625.3346666666685"/>
    <n v="1680"/>
    <n v="56.003157877954919"/>
    <n v="30240000"/>
    <n v="386634000.0000031"/>
    <n v="442484784.00000006"/>
    <n v="400430928"/>
    <n v="442800000"/>
    <n v="716958000"/>
    <n v="11326"/>
    <n v="19027680"/>
    <n v="243278704.66666862"/>
    <n v="278421259.08800006"/>
    <n v="251960038.36266667"/>
    <n v="278619600"/>
    <n v="451125906"/>
    <x v="0"/>
    <n v="1680"/>
    <n v="0"/>
    <n v="0"/>
    <n v="0"/>
  </r>
  <r>
    <n v="525"/>
    <x v="3"/>
    <s v="P37NCDPB"/>
    <s v="ANC ACNES DP CLEANSER FW 100G"/>
    <x v="2"/>
    <n v="29835"/>
    <n v="29360.99999999996"/>
    <n v="31310.849499999997"/>
    <n v="29205.616500000004"/>
    <n v="36419"/>
    <n v="7680"/>
    <n v="3480"/>
    <n v="6441"/>
    <n v="29640"/>
    <n v="11160"/>
    <n v="120"/>
    <n v="60"/>
    <n v="50540"/>
    <n v="51.914671960442945"/>
    <n v="9542.0825000000041"/>
    <n v="0"/>
    <n v="3339.7288750000012"/>
    <n v="3360"/>
    <n v="53.649766817968043"/>
    <n v="100245600"/>
    <n v="875985434.99999881"/>
    <n v="934159194.83249986"/>
    <n v="871349568.27750015"/>
    <n v="884309400"/>
    <n v="1507860900"/>
    <n v="18772"/>
    <n v="63073920"/>
    <n v="551164691.99999928"/>
    <n v="587767266.81399989"/>
    <n v="548247832.93800008"/>
    <n v="556402080"/>
    <n v="948736880"/>
    <x v="0"/>
    <n v="3360"/>
    <n v="0"/>
    <n v="0"/>
    <n v="0"/>
  </r>
  <r>
    <n v="526"/>
    <x v="3"/>
    <s v="P37NCOCA"/>
    <s v="ANC ACNES OIL CONTROL FW 50G"/>
    <x v="2"/>
    <n v="18000"/>
    <n v="23770.000000000022"/>
    <n v="26802.200500000003"/>
    <n v="24397.733500000002"/>
    <n v="37020"/>
    <n v="4560"/>
    <n v="2520"/>
    <n v="4390"/>
    <n v="27600"/>
    <n v="7680"/>
    <n v="120"/>
    <n v="60"/>
    <n v="45970"/>
    <n v="56.525742442428097"/>
    <n v="2027.6675000000105"/>
    <n v="0"/>
    <n v="709.68362500000364"/>
    <n v="720"/>
    <n v="58.392062729925293"/>
    <n v="12960000"/>
    <n v="427860000.00000042"/>
    <n v="482439609.00000006"/>
    <n v="439159203.00000006"/>
    <n v="496800000"/>
    <n v="827460000"/>
    <n v="11326"/>
    <n v="8154720"/>
    <n v="269219020.00000024"/>
    <n v="303561722.86300004"/>
    <n v="276328729.62100005"/>
    <n v="312597600"/>
    <n v="520656220"/>
    <x v="0"/>
    <n v="720"/>
    <n v="0"/>
    <n v="0"/>
    <n v="0"/>
  </r>
  <r>
    <n v="527"/>
    <x v="3"/>
    <s v="P37NCOCB"/>
    <s v="ANC ACNES OIL CONTROL FW 100G"/>
    <x v="2"/>
    <n v="29835"/>
    <n v="40375.666666666541"/>
    <n v="42673.694499999998"/>
    <n v="42014.898166666651"/>
    <n v="46595"/>
    <n v="8640"/>
    <n v="5040"/>
    <n v="2867"/>
    <n v="47400"/>
    <n v="20760"/>
    <n v="120"/>
    <n v="60"/>
    <n v="58102"/>
    <n v="41.486712477215789"/>
    <n v="21201.490833333301"/>
    <n v="0"/>
    <n v="7420.5217916666543"/>
    <n v="7440"/>
    <n v="50.173849205529251"/>
    <n v="221972400"/>
    <n v="1204608014.9999962"/>
    <n v="1273169675.4075"/>
    <n v="1253514486.8024995"/>
    <n v="1414179000"/>
    <n v="1733473170"/>
    <n v="18772"/>
    <n v="139663680"/>
    <n v="757932014.66666424"/>
    <n v="801070593.15399992"/>
    <n v="788703668.38466632"/>
    <n v="889792800"/>
    <n v="1090690744"/>
    <x v="0"/>
    <n v="7440"/>
    <n v="0"/>
    <n v="0"/>
    <n v="0"/>
  </r>
  <r>
    <n v="528"/>
    <x v="3"/>
    <s v="P37NCYPA"/>
    <s v="ANC ACNES YOGHURT PLUS FW 50G"/>
    <x v="2"/>
    <n v="18000"/>
    <n v="12931.666666666719"/>
    <n v="15379.324500000001"/>
    <n v="13751.774833333331"/>
    <n v="20045"/>
    <n v="3480"/>
    <n v="1440"/>
    <n v="2280"/>
    <n v="16680"/>
    <n v="5520"/>
    <n v="120"/>
    <n v="60"/>
    <n v="25805"/>
    <n v="56.294551749314209"/>
    <n v="397.87416666666104"/>
    <n v="0"/>
    <n v="0"/>
    <n v="0"/>
    <n v="59.132022946516884"/>
    <n v="0"/>
    <n v="232770000.00000092"/>
    <n v="276827841"/>
    <n v="247531946.99999997"/>
    <n v="300240000"/>
    <n v="464490000"/>
    <n v="11326"/>
    <n v="0"/>
    <n v="146464056.66666725"/>
    <n v="174186229.287"/>
    <n v="155752601.7623333"/>
    <n v="188917680"/>
    <n v="292267430"/>
    <x v="0"/>
    <n v="0"/>
    <n v="0"/>
    <n v="0"/>
    <n v="0"/>
  </r>
  <r>
    <n v="529"/>
    <x v="3"/>
    <s v="P37NCYPB"/>
    <s v="ANC ACNES YOGHURT PLUS FW 100G"/>
    <x v="2"/>
    <n v="29835"/>
    <n v="15230.999999999929"/>
    <n v="17578.010500000004"/>
    <n v="15495.670166666663"/>
    <n v="16196"/>
    <n v="0"/>
    <n v="3938"/>
    <n v="11326"/>
    <n v="15360"/>
    <n v="12720"/>
    <n v="120"/>
    <n v="60"/>
    <n v="27522"/>
    <n v="53.283271463541425"/>
    <n v="5687.3508333333302"/>
    <n v="0"/>
    <n v="1990.5727916666654"/>
    <n v="2040"/>
    <n v="52.93863874081557"/>
    <n v="60863400"/>
    <n v="454416884.99999785"/>
    <n v="524439943.2675001"/>
    <n v="462313319.4224999"/>
    <n v="458265600"/>
    <n v="821118870"/>
    <n v="18772"/>
    <n v="38294880"/>
    <n v="285916331.99999869"/>
    <n v="329974413.10600007"/>
    <n v="290884720.36866659"/>
    <n v="288337920"/>
    <n v="516642984"/>
    <x v="0"/>
    <n v="2040"/>
    <n v="0"/>
    <n v="0"/>
    <n v="0"/>
  </r>
  <r>
    <n v="530"/>
    <x v="3"/>
    <s v="P37OCMCA"/>
    <s v="ANC  OIL CNTRL MILK CLEANS 110ML"/>
    <x v="2"/>
    <n v="35550"/>
    <n v="1140.9999999999995"/>
    <n v="1691.6794999999997"/>
    <n v="1353.8931666666667"/>
    <n v="1991"/>
    <n v="744"/>
    <n v="90"/>
    <n v="108"/>
    <n v="720"/>
    <n v="1080"/>
    <n v="90"/>
    <n v="60"/>
    <n v="2843"/>
    <n v="62.996107890836775"/>
    <n v="836.46583333333365"/>
    <n v="342"/>
    <n v="836.46583333333365"/>
    <n v="810"/>
    <n v="59.413561557478879"/>
    <n v="28795500"/>
    <n v="40562549.999999985"/>
    <n v="60139206.224999994"/>
    <n v="48130902.075000003"/>
    <n v="25596000"/>
    <n v="101068650"/>
    <n v="22368"/>
    <n v="18118080"/>
    <n v="25521887.999999989"/>
    <n v="37839487.055999994"/>
    <n v="30283882.352000002"/>
    <n v="16104960"/>
    <n v="63592224"/>
    <x v="0"/>
    <n v="468"/>
    <n v="0"/>
    <n v="0"/>
    <n v="0"/>
  </r>
  <r>
    <n v="531"/>
    <x v="3"/>
    <s v="P37OCTNA"/>
    <s v="ANC  OIL CONTROL TONER 110 ML"/>
    <x v="2"/>
    <n v="31950"/>
    <n v="2416.3333333333308"/>
    <n v="2989.7955000000002"/>
    <n v="2573.5985000000001"/>
    <n v="4260"/>
    <n v="540"/>
    <n v="270"/>
    <n v="163"/>
    <n v="2070"/>
    <n v="1080"/>
    <n v="90"/>
    <n v="60"/>
    <n v="4963"/>
    <n v="57.852846899001534"/>
    <n v="1103.9925000000003"/>
    <n v="0"/>
    <n v="386.39737500000007"/>
    <n v="360"/>
    <n v="51.327405964838718"/>
    <n v="11502000"/>
    <n v="77201849.999999911"/>
    <n v="95523966.225000009"/>
    <n v="82226472.075000003"/>
    <n v="66136500"/>
    <n v="158567850"/>
    <n v="20103"/>
    <n v="7237080"/>
    <n v="48575548.999999948"/>
    <n v="60103858.936500005"/>
    <n v="51737050.645500004"/>
    <n v="41613210"/>
    <n v="99771189"/>
    <x v="0"/>
    <n v="360"/>
    <n v="0"/>
    <n v="0"/>
    <n v="0"/>
  </r>
  <r>
    <n v="532"/>
    <x v="3"/>
    <s v="P37ODW10"/>
    <s v="OXY DEEP WASH 100GR"/>
    <x v="1"/>
    <n v="34200"/>
    <n v="10.000000000000007"/>
    <n v="73.33"/>
    <n v="38.776666666666664"/>
    <n v="225"/>
    <n v="156"/>
    <n v="204"/>
    <n v="0"/>
    <n v="0"/>
    <n v="12"/>
    <n v="120"/>
    <n v="60"/>
    <n v="381"/>
    <n v="294.76489297687613"/>
    <n v="0"/>
    <n v="216"/>
    <n v="0"/>
    <n v="0"/>
    <n v="238.03232184303278"/>
    <n v="0"/>
    <n v="342000.00000000023"/>
    <n v="2507886"/>
    <n v="1326162"/>
    <n v="0"/>
    <n v="13030200"/>
    <n v="21519"/>
    <n v="0"/>
    <n v="215190.00000000015"/>
    <n v="1577988.27"/>
    <n v="834435.09"/>
    <n v="0"/>
    <n v="8198739"/>
    <x v="0"/>
    <n v="-216"/>
    <n v="0"/>
    <n v="0"/>
    <n v="0"/>
  </r>
  <r>
    <n v="533"/>
    <x v="3"/>
    <s v="P37OMTRO"/>
    <s v="OBAT MATA ROHTO 7 ML"/>
    <x v="2"/>
    <n v="11205"/>
    <n v="94444.333333332936"/>
    <n v="104788.65300000001"/>
    <n v="101720.21766666666"/>
    <n v="136282"/>
    <n v="1872"/>
    <n v="0"/>
    <n v="23040"/>
    <n v="87120"/>
    <n v="52128"/>
    <n v="144"/>
    <n v="60"/>
    <n v="161194"/>
    <n v="47.540401612654826"/>
    <n v="59915.088333333319"/>
    <n v="0"/>
    <n v="20970.280916666659"/>
    <n v="21024"/>
    <n v="48.529982762882611"/>
    <n v="235573920"/>
    <n v="1058248754.9999956"/>
    <n v="1174156856.865"/>
    <n v="1139775038.9549999"/>
    <n v="976179600"/>
    <n v="1806178770"/>
    <n v="9222"/>
    <n v="193883328"/>
    <n v="870965641.9999963"/>
    <n v="966360957.96600008"/>
    <n v="938063847.32200003"/>
    <n v="803420640"/>
    <n v="1486531068"/>
    <x v="0"/>
    <n v="21024"/>
    <n v="0"/>
    <n v="0"/>
    <n v="0"/>
  </r>
  <r>
    <n v="534"/>
    <x v="3"/>
    <s v="P37OPW05"/>
    <s v="OXY PERFECT WASH 50 GR"/>
    <x v="1"/>
    <n v="20700"/>
    <n v="134.33333333333269"/>
    <n v="266.33000000000004"/>
    <n v="159.44333333333336"/>
    <n v="974"/>
    <n v="0"/>
    <n v="0"/>
    <n v="0"/>
    <n v="0"/>
    <n v="120"/>
    <n v="120"/>
    <n v="60"/>
    <n v="974"/>
    <n v="183.26260113310892"/>
    <n v="0"/>
    <n v="120"/>
    <n v="0"/>
    <n v="0"/>
    <n v="133.15138084585953"/>
    <n v="0"/>
    <n v="2780699.9999999865"/>
    <n v="5513031.0000000009"/>
    <n v="3300477.0000000005"/>
    <n v="0"/>
    <n v="20161800"/>
    <n v="13024"/>
    <n v="0"/>
    <n v="1749557.3333333249"/>
    <n v="3468681.9200000004"/>
    <n v="2076589.9733333336"/>
    <n v="0"/>
    <n v="12685376"/>
    <x v="0"/>
    <n v="-120"/>
    <n v="0"/>
    <n v="0"/>
    <n v="0"/>
  </r>
  <r>
    <n v="535"/>
    <x v="3"/>
    <s v="P37OPW10"/>
    <s v="OXY PERFECT WASH 100 GR"/>
    <x v="2"/>
    <n v="34200"/>
    <n v="582.66666666666299"/>
    <n v="903.21949999999993"/>
    <n v="631.73983333333342"/>
    <n v="1172"/>
    <n v="799"/>
    <n v="36"/>
    <n v="0"/>
    <n v="0"/>
    <n v="996"/>
    <n v="120"/>
    <n v="60"/>
    <n v="1971"/>
    <n v="93.598657042099859"/>
    <n v="195.69916666666677"/>
    <n v="1032"/>
    <n v="195.69916666666677"/>
    <n v="240"/>
    <n v="62.103753681301825"/>
    <n v="8208000"/>
    <n v="19927199.999999873"/>
    <n v="30890106.899999999"/>
    <n v="21605502.300000004"/>
    <n v="0"/>
    <n v="67408200"/>
    <n v="21519"/>
    <n v="5164560"/>
    <n v="12538403.999999922"/>
    <n v="19436380.420499999"/>
    <n v="13594409.473500002"/>
    <n v="0"/>
    <n v="42413949"/>
    <x v="0"/>
    <n v="-792"/>
    <n v="0"/>
    <n v="0"/>
    <n v="0"/>
  </r>
  <r>
    <n v="536"/>
    <x v="3"/>
    <s v="P37PDW05"/>
    <s v="OXY DEEP WASH 50GR"/>
    <x v="1"/>
    <n v="20700"/>
    <n v="63.333333333332703"/>
    <n v="92"/>
    <n v="72.666666666666671"/>
    <n v="379"/>
    <n v="0"/>
    <n v="300"/>
    <n v="60"/>
    <n v="0"/>
    <n v="120"/>
    <n v="60"/>
    <n v="60"/>
    <n v="439"/>
    <n v="181.23853211009174"/>
    <n v="0"/>
    <n v="360"/>
    <n v="0"/>
    <n v="0"/>
    <n v="143.25688073394494"/>
    <n v="0"/>
    <n v="1310999.999999987"/>
    <n v="1904400"/>
    <n v="1504200"/>
    <n v="0"/>
    <n v="9087300"/>
    <n v="13024"/>
    <n v="0"/>
    <n v="824853.33333332511"/>
    <n v="1198208"/>
    <n v="946410.66666666674"/>
    <n v="0"/>
    <n v="5717536"/>
    <x v="0"/>
    <n v="-360"/>
    <n v="60"/>
    <n v="60"/>
    <n v="60"/>
  </r>
  <r>
    <n v="537"/>
    <x v="3"/>
    <s v="P37RCCB8"/>
    <s v="ROHTO C CUBE 8 ML"/>
    <x v="2"/>
    <n v="40050"/>
    <n v="5093.9999999999918"/>
    <n v="6070.6960000000008"/>
    <n v="6363.8986666666669"/>
    <n v="8008"/>
    <n v="0"/>
    <n v="0"/>
    <n v="96"/>
    <n v="6336"/>
    <n v="4320"/>
    <n v="144"/>
    <n v="60"/>
    <n v="8104"/>
    <n v="38.202996737429714"/>
    <n v="4358.4933333333356"/>
    <n v="0"/>
    <n v="1525.4726666666675"/>
    <n v="1584"/>
    <n v="46.920784827078748"/>
    <n v="63439200"/>
    <n v="204014699.99999967"/>
    <n v="243131374.80000004"/>
    <n v="254874141.60000002"/>
    <n v="253756800"/>
    <n v="324565200"/>
    <n v="32963"/>
    <n v="52213392"/>
    <n v="167913521.99999973"/>
    <n v="200108352.24800003"/>
    <n v="209773191.74933335"/>
    <n v="208853568"/>
    <n v="267132152"/>
    <x v="0"/>
    <n v="1584"/>
    <n v="0"/>
    <n v="0"/>
    <n v="0"/>
  </r>
  <r>
    <n v="538"/>
    <x v="3"/>
    <s v="P37RCOL7"/>
    <s v="ROHTO COOL 7 ML"/>
    <x v="3"/>
    <n v="15425"/>
    <n v="234735.33333333296"/>
    <n v="267391.66000000003"/>
    <n v="255723.8866666666"/>
    <n v="309086"/>
    <n v="19152"/>
    <n v="576"/>
    <n v="114912"/>
    <n v="299376"/>
    <n v="104400"/>
    <n v="144"/>
    <n v="60"/>
    <n v="443150"/>
    <n v="51.987712893356893"/>
    <n v="36313.433333333232"/>
    <n v="0"/>
    <n v="12709.701666666631"/>
    <n v="12672"/>
    <n v="57.226528154077023"/>
    <n v="195465600"/>
    <n v="3620792516.6666608"/>
    <n v="4124516355.5000005"/>
    <n v="3944540951.8333325"/>
    <n v="4617874800"/>
    <n v="6835588750"/>
    <n v="12696"/>
    <n v="160883712"/>
    <n v="2980199791.9999952"/>
    <n v="3394804515.3600006"/>
    <n v="3246670465.1199989"/>
    <n v="3800877696"/>
    <n v="5626232400"/>
    <x v="0"/>
    <n v="12672"/>
    <n v="0"/>
    <n v="0"/>
    <n v="0"/>
  </r>
  <r>
    <n v="539"/>
    <x v="3"/>
    <s v="P37RDRFH"/>
    <s v="ROHTO DRY FRESH 7 ML"/>
    <x v="2"/>
    <n v="15425"/>
    <n v="17715.999999999971"/>
    <n v="20212.499500000002"/>
    <n v="21290.499833333335"/>
    <n v="13595"/>
    <n v="108"/>
    <n v="0"/>
    <n v="17028"/>
    <n v="15708"/>
    <n v="18552"/>
    <n v="12"/>
    <n v="60"/>
    <n v="30731"/>
    <n v="43.302412212821146"/>
    <n v="16354.499166666676"/>
    <n v="0"/>
    <n v="5724.0747083333363"/>
    <n v="5724"/>
    <n v="45.020784974681852"/>
    <n v="88292700"/>
    <n v="273269299.99999952"/>
    <n v="311777804.78750002"/>
    <n v="328405959.92916667"/>
    <n v="242295900"/>
    <n v="474025675"/>
    <n v="12696"/>
    <n v="72671904"/>
    <n v="224922335.99999964"/>
    <n v="256617893.65200001"/>
    <n v="270304185.884"/>
    <n v="199428768"/>
    <n v="390160776"/>
    <x v="0"/>
    <n v="5724"/>
    <n v="0"/>
    <n v="0"/>
    <n v="0"/>
  </r>
  <r>
    <n v="540"/>
    <x v="3"/>
    <s v="P37REFLU"/>
    <s v="ROHTO EYE FLUSH 150 ML"/>
    <x v="2"/>
    <n v="34650"/>
    <n v="14559.000000000031"/>
    <n v="17215.109499999999"/>
    <n v="16548.036500000002"/>
    <n v="12168"/>
    <n v="48"/>
    <n v="0"/>
    <n v="11906"/>
    <n v="19800"/>
    <n v="14952"/>
    <n v="24"/>
    <n v="60"/>
    <n v="24122"/>
    <n v="43.730868009627599"/>
    <n v="6389.1825000000026"/>
    <n v="0"/>
    <n v="2236.2138750000008"/>
    <n v="2232"/>
    <n v="52.463427609674412"/>
    <n v="77338800"/>
    <n v="504469350.00000107"/>
    <n v="596503544.17499995"/>
    <n v="573389464.72500002"/>
    <n v="686070000"/>
    <n v="835827300"/>
    <n v="28519"/>
    <n v="63654408"/>
    <n v="415208121.00000089"/>
    <n v="490957707.83049995"/>
    <n v="471933452.94350004"/>
    <n v="564676200"/>
    <n v="687935318"/>
    <x v="0"/>
    <n v="2232"/>
    <n v="0"/>
    <n v="0"/>
    <n v="0"/>
  </r>
  <r>
    <n v="541"/>
    <x v="3"/>
    <s v="P37RSBFA"/>
    <s v="SELSUN_BLUE FIVE 120 ML"/>
    <x v="3"/>
    <n v="47340"/>
    <n v="38792.666666666701"/>
    <n v="40859.33"/>
    <n v="40676.443333333329"/>
    <n v="50452"/>
    <n v="1440"/>
    <n v="5616"/>
    <n v="16223"/>
    <n v="52128"/>
    <n v="20160"/>
    <n v="72"/>
    <n v="60"/>
    <n v="68115"/>
    <n v="50.236693096651443"/>
    <n v="1969.2166666666599"/>
    <n v="0"/>
    <n v="689.22583333333091"/>
    <n v="720"/>
    <n v="59.078668218534027"/>
    <n v="34084800"/>
    <n v="1836444840.0000017"/>
    <n v="1934280682.2"/>
    <n v="1925622827.3999999"/>
    <n v="2467739520"/>
    <n v="3224564100"/>
    <n v="29786"/>
    <n v="21445920"/>
    <n v="1155478369.3333344"/>
    <n v="1217036003.3800001"/>
    <n v="1211588541.1266665"/>
    <n v="1552684608"/>
    <n v="2028873390"/>
    <x v="0"/>
    <n v="720"/>
    <n v="0"/>
    <n v="0"/>
    <n v="0"/>
  </r>
  <r>
    <n v="542"/>
    <x v="3"/>
    <s v="P37RSBFB"/>
    <s v="SELSUN_BLUE FIVE 200 ML"/>
    <x v="3"/>
    <n v="63180"/>
    <n v="24899.333333333307"/>
    <n v="26171.96"/>
    <n v="26147.653333333328"/>
    <n v="16780"/>
    <n v="4392"/>
    <n v="5184"/>
    <n v="17048"/>
    <n v="33552"/>
    <n v="21096"/>
    <n v="72"/>
    <n v="60"/>
    <n v="38220"/>
    <n v="43.850971457476881"/>
    <n v="6695.2666666666628"/>
    <n v="0"/>
    <n v="2343.3433333333319"/>
    <n v="2376"/>
    <n v="55.044373644237808"/>
    <n v="150115680"/>
    <n v="1573139879.9999983"/>
    <n v="1653544432.8"/>
    <n v="1652008737.5999997"/>
    <n v="2119815360"/>
    <n v="2414739600"/>
    <n v="39753"/>
    <n v="94453128"/>
    <n v="989823197.99999893"/>
    <n v="1040413925.88"/>
    <n v="1039447662.9599998"/>
    <n v="1333792656"/>
    <n v="1519359660"/>
    <x v="0"/>
    <n v="2376"/>
    <n v="0"/>
    <n v="0"/>
    <n v="0"/>
  </r>
  <r>
    <n v="543"/>
    <x v="3"/>
    <s v="P37RSBFE"/>
    <s v="SELSUN BLUE FIVE 50 ML"/>
    <x v="2"/>
    <n v="23580"/>
    <n v="35481.333333333343"/>
    <n v="40135.240999999995"/>
    <n v="37093.41366666666"/>
    <n v="38142"/>
    <n v="10584"/>
    <n v="5184"/>
    <n v="16272"/>
    <n v="44712"/>
    <n v="25344"/>
    <n v="72"/>
    <n v="60"/>
    <n v="64998"/>
    <n v="52.568362068877988"/>
    <n v="4612.0683333333145"/>
    <n v="0"/>
    <n v="1614.22391666666"/>
    <n v="1584"/>
    <n v="57.550992453368266"/>
    <n v="37350720"/>
    <n v="836649840.00000024"/>
    <n v="946388982.77999985"/>
    <n v="874662694.25999987"/>
    <n v="1054308960"/>
    <n v="1532652840"/>
    <n v="14837"/>
    <n v="23501808"/>
    <n v="526436542.66666681"/>
    <n v="595486570.71699989"/>
    <n v="550354978.57233322"/>
    <n v="663391944"/>
    <n v="964375326"/>
    <x v="0"/>
    <n v="1584"/>
    <n v="0"/>
    <n v="0"/>
    <n v="0"/>
  </r>
  <r>
    <n v="544"/>
    <x v="3"/>
    <s v="P37RSBLA"/>
    <s v="SELSUN_BLUE 60 ML"/>
    <x v="3"/>
    <n v="25830"/>
    <n v="45173.999999999956"/>
    <n v="47758"/>
    <n v="47020.999999999993"/>
    <n v="61157"/>
    <n v="6336"/>
    <n v="4032"/>
    <n v="17090"/>
    <n v="63576"/>
    <n v="19368"/>
    <n v="72"/>
    <n v="60"/>
    <n v="84583"/>
    <n v="53.965036898407099"/>
    <n v="0"/>
    <n v="0"/>
    <n v="0"/>
    <n v="0"/>
    <n v="64.057123412943156"/>
    <n v="0"/>
    <n v="1166844419.9999988"/>
    <n v="1233589140"/>
    <n v="1214552429.9999998"/>
    <n v="1642168080"/>
    <n v="2184778890"/>
    <n v="16252"/>
    <n v="0"/>
    <n v="734167847.99999928"/>
    <n v="776163016"/>
    <n v="764185291.99999988"/>
    <n v="1033237152"/>
    <n v="1374642916"/>
    <x v="0"/>
    <n v="0"/>
    <n v="0"/>
    <n v="0"/>
    <n v="0"/>
  </r>
  <r>
    <n v="545"/>
    <x v="3"/>
    <s v="P37RSBLB"/>
    <s v="SELSUN_BLUE 120 ML"/>
    <x v="3"/>
    <n v="43740"/>
    <n v="69026.666666666264"/>
    <n v="77727.990000000005"/>
    <n v="73856.66333333333"/>
    <n v="94590"/>
    <n v="8856"/>
    <n v="6768"/>
    <n v="28783"/>
    <n v="92592"/>
    <n v="26280"/>
    <n v="72"/>
    <n v="60"/>
    <n v="132229"/>
    <n v="53.710387403998169"/>
    <n v="620.31666666665114"/>
    <n v="0"/>
    <n v="0"/>
    <n v="0"/>
    <n v="59.748032213207217"/>
    <n v="0"/>
    <n v="3019226399.9999824"/>
    <n v="3399822282.6000004"/>
    <n v="3230490454.1999998"/>
    <n v="4049974080"/>
    <n v="5783696460"/>
    <n v="27521"/>
    <n v="0"/>
    <n v="1899682893.3333223"/>
    <n v="2139152012.7900002"/>
    <n v="2032609231.5966666"/>
    <n v="2548224432"/>
    <n v="3639074309"/>
    <x v="0"/>
    <n v="0"/>
    <n v="0"/>
    <n v="0"/>
    <n v="0"/>
  </r>
  <r>
    <n v="546"/>
    <x v="3"/>
    <s v="P37RSGOA"/>
    <s v="SELSUN_GOLD 60 ML"/>
    <x v="2"/>
    <n v="28980"/>
    <n v="20913.999999999953"/>
    <n v="23984.771000000004"/>
    <n v="22389.923666666669"/>
    <n v="30832"/>
    <n v="3312"/>
    <n v="2736"/>
    <n v="3816"/>
    <n v="28368"/>
    <n v="8928"/>
    <n v="72"/>
    <n v="60"/>
    <n v="37960"/>
    <n v="50.862165363047012"/>
    <n v="2436.6183333333465"/>
    <n v="0"/>
    <n v="852.81641666667122"/>
    <n v="864"/>
    <n v="57.89286686715068"/>
    <n v="25038720"/>
    <n v="606087719.99999869"/>
    <n v="695078663.58000016"/>
    <n v="648859987.86000013"/>
    <n v="822104640"/>
    <n v="1100080800"/>
    <n v="18234"/>
    <n v="15754176"/>
    <n v="381345875.99999917"/>
    <n v="437338314.41400009"/>
    <n v="408257868.13800007"/>
    <n v="517262112"/>
    <n v="692162640"/>
    <x v="0"/>
    <n v="864"/>
    <n v="0"/>
    <n v="0"/>
    <n v="0"/>
  </r>
  <r>
    <n v="547"/>
    <x v="3"/>
    <s v="P37RSGOB"/>
    <s v="SELSUN_GOLD 120 ML"/>
    <x v="3"/>
    <n v="47340"/>
    <n v="39774.999999999811"/>
    <n v="42572.679999999993"/>
    <n v="40291.226666666676"/>
    <n v="59035"/>
    <n v="6120"/>
    <n v="3672"/>
    <n v="12399"/>
    <n v="50184"/>
    <n v="12960"/>
    <n v="72"/>
    <n v="60"/>
    <n v="77554"/>
    <n v="57.745077340244777"/>
    <n v="0"/>
    <n v="0"/>
    <n v="0"/>
    <n v="0"/>
    <n v="63.41230613645584"/>
    <n v="0"/>
    <n v="1882948499.9999909"/>
    <n v="2015390671.1999996"/>
    <n v="1907386670.4000006"/>
    <n v="2375710560"/>
    <n v="3671406360"/>
    <n v="29786"/>
    <n v="0"/>
    <n v="1184738149.9999943"/>
    <n v="1268069846.4799998"/>
    <n v="1200114477.4933336"/>
    <n v="1494780624"/>
    <n v="2310023444"/>
    <x v="0"/>
    <n v="0"/>
    <n v="0"/>
    <n v="0"/>
    <n v="0"/>
  </r>
  <r>
    <n v="548"/>
    <x v="3"/>
    <s v="P37RSGOD"/>
    <s v="SELSUN_GOLD 200 ML"/>
    <x v="3"/>
    <n v="63180"/>
    <n v="21046.333333333332"/>
    <n v="22152.190000000002"/>
    <n v="21888.063333333339"/>
    <n v="1178"/>
    <n v="4176"/>
    <n v="2016"/>
    <n v="6984"/>
    <n v="26712"/>
    <n v="7128"/>
    <n v="72"/>
    <n v="60"/>
    <n v="12338"/>
    <n v="16.910587033815535"/>
    <n v="26878.31666666668"/>
    <n v="0"/>
    <n v="9407.410833333337"/>
    <n v="9432"/>
    <n v="36.087902706178198"/>
    <n v="595913760"/>
    <n v="1329707340"/>
    <n v="1399575364.2"/>
    <n v="1382887841.4000003"/>
    <n v="1687664160"/>
    <n v="779514840"/>
    <n v="39753"/>
    <n v="374950296"/>
    <n v="836654889"/>
    <n v="880616009.07000005"/>
    <n v="870116181.69000018"/>
    <n v="1061882136"/>
    <n v="490472514"/>
    <x v="0"/>
    <n v="9432"/>
    <n v="0"/>
    <n v="0"/>
    <n v="0"/>
  </r>
  <r>
    <n v="549"/>
    <x v="3"/>
    <s v="P37RSYDA"/>
    <s v="YELLOW DOUBLE IMPACT 50ML"/>
    <x v="3"/>
    <n v="24390"/>
    <n v="86729.000000000116"/>
    <n v="114493.01"/>
    <n v="94826.003333333327"/>
    <n v="123749"/>
    <n v="11664"/>
    <n v="1152"/>
    <n v="30055"/>
    <n v="130536"/>
    <n v="69480"/>
    <n v="72"/>
    <n v="60"/>
    <n v="165468"/>
    <n v="52.348931996536393"/>
    <n v="8141.0166666666628"/>
    <n v="0"/>
    <n v="2849.3558333333317"/>
    <n v="2880"/>
    <n v="58.335577853627427"/>
    <n v="70243200"/>
    <n v="2115320310.0000029"/>
    <n v="2792484513.9000001"/>
    <n v="2312806221.2999997"/>
    <n v="3183773040"/>
    <n v="4035764520"/>
    <n v="15346"/>
    <n v="44196480"/>
    <n v="1330943234.0000017"/>
    <n v="1757009731.46"/>
    <n v="1455199847.1533332"/>
    <n v="2003205456"/>
    <n v="2539271928"/>
    <x v="0"/>
    <n v="2880"/>
    <n v="0"/>
    <n v="0"/>
    <n v="0"/>
  </r>
  <r>
    <n v="550"/>
    <x v="3"/>
    <s v="P37RSYDB"/>
    <s v="YELLOW DOUBLE IMPACT 100ML"/>
    <x v="3"/>
    <n v="41400"/>
    <n v="145809.33333333285"/>
    <n v="157719.66"/>
    <n v="148628.88666666669"/>
    <n v="164329"/>
    <n v="22032"/>
    <n v="23328"/>
    <n v="95242"/>
    <n v="182952"/>
    <n v="70416"/>
    <n v="72"/>
    <n v="60"/>
    <n v="281603"/>
    <n v="56.840162026825368"/>
    <n v="0"/>
    <n v="0"/>
    <n v="0"/>
    <n v="0"/>
    <n v="61.933184096604265"/>
    <n v="0"/>
    <n v="6036506399.99998"/>
    <n v="6529593924"/>
    <n v="6153235908.000001"/>
    <n v="7574212800"/>
    <n v="11658364200"/>
    <n v="26049"/>
    <n v="0"/>
    <n v="3798187323.9999876"/>
    <n v="4108439423.3400002"/>
    <n v="3871633868.7800007"/>
    <n v="4765716648"/>
    <n v="7335476547"/>
    <x v="0"/>
    <n v="0"/>
    <n v="0"/>
    <n v="0"/>
    <n v="0"/>
  </r>
  <r>
    <n v="551"/>
    <x v="3"/>
    <s v="P37RVEXR"/>
    <s v="ROHTO V EXTRA 7 ML"/>
    <x v="2"/>
    <n v="15975"/>
    <n v="22246.333333333358"/>
    <n v="26170.056499999999"/>
    <n v="25023.018833333332"/>
    <n v="33625"/>
    <n v="1788"/>
    <n v="0"/>
    <n v="4812"/>
    <n v="30876"/>
    <n v="8604"/>
    <n v="12"/>
    <n v="60"/>
    <n v="40225"/>
    <n v="48.225596121619034"/>
    <n v="5115.0941666666622"/>
    <n v="0"/>
    <n v="1790.2829583333316"/>
    <n v="1788"/>
    <n v="56.011159737967404"/>
    <n v="28563300"/>
    <n v="355385175.00000036"/>
    <n v="418066652.58749998"/>
    <n v="399742725.86249995"/>
    <n v="493244100"/>
    <n v="642594375"/>
    <n v="13148"/>
    <n v="23508624"/>
    <n v="292494790.66666698"/>
    <n v="344083902.86199999"/>
    <n v="329002651.62066662"/>
    <n v="405957648"/>
    <n v="528878300"/>
    <x v="0"/>
    <n v="1788"/>
    <n v="0"/>
    <n v="0"/>
    <n v="0"/>
  </r>
  <r>
    <n v="552"/>
    <x v="3"/>
    <s v="P37SATMG"/>
    <s v="SKIN AQUA TONE UP MINT GREEN"/>
    <x v="2"/>
    <n v="70650"/>
    <n v="3614.9999999999923"/>
    <n v="4492.1324999999997"/>
    <n v="3947.7108333333331"/>
    <n v="5150"/>
    <n v="756"/>
    <n v="432"/>
    <n v="937"/>
    <n v="4176"/>
    <n v="1692"/>
    <n v="36"/>
    <n v="60"/>
    <n v="6843"/>
    <n v="52.002289090323025"/>
    <n v="1368.554166666665"/>
    <n v="0"/>
    <n v="478.99395833333273"/>
    <n v="468"/>
    <n v="53.156381979176544"/>
    <n v="33064200"/>
    <n v="255399749.99999946"/>
    <n v="317369161.125"/>
    <n v="278905770.375"/>
    <n v="295034400"/>
    <n v="483457950"/>
    <n v="44453"/>
    <n v="20804004"/>
    <n v="160697594.99999964"/>
    <n v="199688766.02249998"/>
    <n v="175487589.67416665"/>
    <n v="185635728"/>
    <n v="304191879"/>
    <x v="0"/>
    <n v="468"/>
    <n v="0"/>
    <n v="0"/>
    <n v="0"/>
  </r>
  <r>
    <n v="553"/>
    <x v="3"/>
    <s v="P37SATN4"/>
    <s v="SKIN AQUA TONE UP 40 ML"/>
    <x v="2"/>
    <n v="70650"/>
    <n v="11883.666666666626"/>
    <n v="13924.803500000002"/>
    <n v="13209.601166666669"/>
    <n v="16475"/>
    <n v="2160"/>
    <n v="792"/>
    <n v="450"/>
    <n v="16128"/>
    <n v="4860"/>
    <n v="36"/>
    <n v="60"/>
    <n v="19085"/>
    <n v="43.343473642851713"/>
    <n v="5131.0058333333436"/>
    <n v="0"/>
    <n v="1795.8520416666702"/>
    <n v="1800"/>
    <n v="52.435034658565947"/>
    <n v="127170000"/>
    <n v="839581049.99999714"/>
    <n v="983787367.2750001"/>
    <n v="933258322.42500019"/>
    <n v="1139443200"/>
    <n v="1348355250"/>
    <n v="44453"/>
    <n v="80015400"/>
    <n v="528264634.33333153"/>
    <n v="618999289.9855001"/>
    <n v="587206400.66183341"/>
    <n v="716937984"/>
    <n v="848385505"/>
    <x v="0"/>
    <n v="1800"/>
    <n v="0"/>
    <n v="0"/>
    <n v="0"/>
  </r>
  <r>
    <n v="554"/>
    <x v="3"/>
    <s v="P37SBML3"/>
    <s v="SUNPLAY BABY MILD LOTION 30 ML"/>
    <x v="2"/>
    <n v="76050"/>
    <n v="358.66666666666697"/>
    <n v="630.17000000000007"/>
    <n v="391.7233333333333"/>
    <n v="1043"/>
    <n v="108"/>
    <n v="0"/>
    <n v="36"/>
    <n v="0"/>
    <n v="216"/>
    <n v="36"/>
    <n v="60"/>
    <n v="1187"/>
    <n v="90.905996579218339"/>
    <n v="226.61666666666679"/>
    <n v="180"/>
    <n v="226.61666666666679"/>
    <n v="216"/>
    <n v="59.186926146855349"/>
    <n v="16426800"/>
    <n v="27276600.000000022"/>
    <n v="47924428.500000007"/>
    <n v="29790559.499999996"/>
    <n v="0"/>
    <n v="90271350"/>
    <n v="47851"/>
    <n v="10335816"/>
    <n v="17162558.666666683"/>
    <n v="30154264.670000002"/>
    <n v="18744353.223333333"/>
    <n v="0"/>
    <n v="56799137"/>
    <x v="0"/>
    <n v="36"/>
    <n v="180"/>
    <n v="180"/>
    <n v="216"/>
  </r>
  <r>
    <n v="555"/>
    <x v="3"/>
    <s v="P37SE030"/>
    <s v="HL SHIROJYUN ULT WHIT ESSENCE30GR"/>
    <x v="2"/>
    <n v="126900"/>
    <n v="399.66666666666572"/>
    <n v="638.495"/>
    <n v="446.83166666666665"/>
    <n v="1089"/>
    <n v="126"/>
    <n v="18"/>
    <n v="27"/>
    <n v="0"/>
    <n v="198"/>
    <n v="18"/>
    <n v="60"/>
    <n v="1242"/>
    <n v="83.387107001518103"/>
    <n v="290.1583333333333"/>
    <n v="189"/>
    <n v="189"/>
    <n v="198"/>
    <n v="53.812546857690634"/>
    <n v="25126200"/>
    <n v="50717699.999999881"/>
    <n v="81025015.5"/>
    <n v="56702938.5"/>
    <n v="0"/>
    <n v="157609800"/>
    <n v="79845"/>
    <n v="15809310"/>
    <n v="31911384.999999925"/>
    <n v="50980633.274999999"/>
    <n v="35677274.424999997"/>
    <n v="0"/>
    <n v="99167490"/>
    <x v="0"/>
    <n v="9"/>
    <n v="135"/>
    <n v="171"/>
    <n v="189"/>
  </r>
  <r>
    <n v="556"/>
    <x v="3"/>
    <s v="P37SFC10"/>
    <s v="HL SHIROJYUN ULT WHIT FW100GR"/>
    <x v="3"/>
    <n v="40950"/>
    <n v="252294.66666666695"/>
    <n v="240839"/>
    <n v="231829.33333333334"/>
    <n v="265014"/>
    <n v="51960"/>
    <n v="15216"/>
    <n v="172128"/>
    <n v="106608"/>
    <n v="96840"/>
    <n v="24"/>
    <n v="60"/>
    <n v="489102"/>
    <n v="63.292508281954539"/>
    <n v="108787.66666666674"/>
    <n v="0"/>
    <n v="38075.683333333356"/>
    <n v="38064"/>
    <n v="50.847965744915797"/>
    <n v="1558720800"/>
    <n v="10331466600.000011"/>
    <n v="9862357050"/>
    <n v="9493411200"/>
    <n v="4365597600"/>
    <n v="20028726900"/>
    <n v="25766"/>
    <n v="980757024"/>
    <n v="6500624381.3333406"/>
    <n v="6205457674"/>
    <n v="5973314602.666667"/>
    <n v="2746861728"/>
    <n v="12602202132"/>
    <x v="0"/>
    <n v="38064"/>
    <n v="0"/>
    <n v="0"/>
    <n v="0"/>
  </r>
  <r>
    <n v="557"/>
    <x v="3"/>
    <s v="P37SFW05"/>
    <s v="HL SHIROJYUN ULT WHIT FW50GR"/>
    <x v="3"/>
    <n v="24750"/>
    <n v="293680.66666666564"/>
    <n v="283547.32999999996"/>
    <n v="261610.10999999996"/>
    <n v="352701"/>
    <n v="66792"/>
    <n v="18264"/>
    <n v="146310"/>
    <n v="157536"/>
    <n v="74784"/>
    <n v="24"/>
    <n v="60"/>
    <n v="565803"/>
    <n v="64.883157611913404"/>
    <n v="83428.549999999814"/>
    <n v="0"/>
    <n v="29199.992499999931"/>
    <n v="29208"/>
    <n v="53.782287312978859"/>
    <n v="722898000"/>
    <n v="7268596499.9999743"/>
    <n v="7017796417.499999"/>
    <n v="6474850222.499999"/>
    <n v="3899016000"/>
    <n v="14003624250"/>
    <n v="15573"/>
    <n v="454856184"/>
    <n v="4573489021.9999838"/>
    <n v="4415682570.0899992"/>
    <n v="4074054243.0299993"/>
    <n v="2453308128"/>
    <n v="8811250119"/>
    <x v="0"/>
    <n v="29208"/>
    <n v="0"/>
    <n v="0"/>
    <n v="0"/>
  </r>
  <r>
    <n v="558"/>
    <x v="3"/>
    <s v="P37SL100"/>
    <s v="HL SHIROJYUN ULT WHIT LOTION100ML"/>
    <x v="2"/>
    <n v="52200"/>
    <n v="12438.666666666613"/>
    <n v="14593.625"/>
    <n v="12639.208333333332"/>
    <n v="13446"/>
    <n v="2844"/>
    <n v="1278"/>
    <n v="5261"/>
    <n v="11178"/>
    <n v="6804"/>
    <n v="18"/>
    <n v="60"/>
    <n v="21551"/>
    <n v="51.152729106846749"/>
    <n v="7143.0416666666642"/>
    <n v="0"/>
    <n v="2500.0645833333324"/>
    <n v="2502"/>
    <n v="48.984179520737392"/>
    <n v="130604400"/>
    <n v="649298399.99999726"/>
    <n v="761787225"/>
    <n v="659766674.99999988"/>
    <n v="583491600"/>
    <n v="1124962200"/>
    <n v="32844"/>
    <n v="82175688"/>
    <n v="408535567.99999827"/>
    <n v="479313019.5"/>
    <n v="415122158.49999994"/>
    <n v="367130232"/>
    <n v="707821044"/>
    <x v="0"/>
    <n v="2502"/>
    <n v="0"/>
    <n v="0"/>
    <n v="0"/>
  </r>
  <r>
    <n v="559"/>
    <x v="3"/>
    <s v="P37SLCTB"/>
    <s v="SELSUN CONDITIONER 100 GR"/>
    <x v="2"/>
    <n v="26550"/>
    <n v="10104.000000000002"/>
    <n v="13258.529"/>
    <n v="11058.176333333333"/>
    <n v="18851"/>
    <n v="1680"/>
    <n v="540"/>
    <n v="4260"/>
    <n v="12000"/>
    <n v="2820"/>
    <n v="60"/>
    <n v="60"/>
    <n v="24791"/>
    <n v="67.256116884131202"/>
    <n v="0"/>
    <n v="0"/>
    <n v="0"/>
    <n v="0"/>
    <n v="63.841822441548445"/>
    <n v="0"/>
    <n v="268261200.00000006"/>
    <n v="352013944.94999999"/>
    <n v="293594581.64999998"/>
    <n v="318600000"/>
    <n v="658201050"/>
    <n v="16705"/>
    <n v="0"/>
    <n v="168787320.00000003"/>
    <n v="221483726.94499999"/>
    <n v="184726835.64833331"/>
    <n v="200460000"/>
    <n v="414133655"/>
    <x v="0"/>
    <n v="0"/>
    <n v="0"/>
    <n v="0"/>
    <n v="0"/>
  </r>
  <r>
    <n v="560"/>
    <x v="3"/>
    <s v="P37SMM10"/>
    <s v="HL SHIROJYUN ULT WHIT MILK100ML"/>
    <x v="3"/>
    <n v="61200"/>
    <n v="25256.000000000055"/>
    <n v="23036.33"/>
    <n v="24200.776666666665"/>
    <n v="24802"/>
    <n v="3852"/>
    <n v="1494"/>
    <n v="8742"/>
    <n v="16218"/>
    <n v="11070"/>
    <n v="18"/>
    <n v="60"/>
    <n v="37396"/>
    <n v="46.35718991387742"/>
    <n v="17823.883333333331"/>
    <n v="0"/>
    <n v="6238.3591666666653"/>
    <n v="6246"/>
    <n v="45.647712683601199"/>
    <n v="382255200"/>
    <n v="1545667200.0000033"/>
    <n v="1409823396"/>
    <n v="1481087532"/>
    <n v="992541600"/>
    <n v="2288635200"/>
    <n v="38507"/>
    <n v="240514722"/>
    <n v="972532792.00000215"/>
    <n v="887059959.31000006"/>
    <n v="931899307.10333323"/>
    <n v="624506526"/>
    <n v="1440007772"/>
    <x v="0"/>
    <n v="6246"/>
    <n v="0"/>
    <n v="0"/>
    <n v="0"/>
  </r>
  <r>
    <n v="561"/>
    <x v="3"/>
    <s v="P37SNC40"/>
    <s v="HL SHIROJYUN ULT WHIT CREAM40GR"/>
    <x v="2"/>
    <n v="76500"/>
    <n v="8128.6666666666761"/>
    <n v="9654.3649999999998"/>
    <n v="8357.1216666666678"/>
    <n v="7230"/>
    <n v="1548"/>
    <n v="2430"/>
    <n v="3469"/>
    <n v="5544"/>
    <n v="4518"/>
    <n v="18"/>
    <n v="60"/>
    <n v="12247"/>
    <n v="43.963701218501662"/>
    <n v="8577.6083333333372"/>
    <n v="0"/>
    <n v="3002.162916666668"/>
    <n v="3006"/>
    <n v="39.999303986839166"/>
    <n v="229959000"/>
    <n v="621843000.00000072"/>
    <n v="738558922.5"/>
    <n v="639319807.50000012"/>
    <n v="424116000"/>
    <n v="936895500"/>
    <n v="48134"/>
    <n v="144690804"/>
    <n v="391265241.33333379"/>
    <n v="464703204.90999997"/>
    <n v="402261694.3033334"/>
    <n v="266854896"/>
    <n v="589497098"/>
    <x v="0"/>
    <n v="3006"/>
    <n v="0"/>
    <n v="0"/>
    <n v="0"/>
  </r>
  <r>
    <n v="562"/>
    <x v="3"/>
    <s v="P37SUPC3"/>
    <s v="SUNPLAY COOL 30 ML"/>
    <x v="2"/>
    <n v="71550"/>
    <n v="322.33333333333377"/>
    <n v="630.505"/>
    <n v="411.16833333333329"/>
    <n v="749"/>
    <n v="108"/>
    <n v="0"/>
    <n v="0"/>
    <n v="0"/>
    <n v="504"/>
    <n v="36"/>
    <n v="60"/>
    <n v="857"/>
    <n v="62.529134458311894"/>
    <n v="595.8416666666667"/>
    <n v="504"/>
    <n v="504"/>
    <n v="504"/>
    <n v="53.29897325102047"/>
    <n v="36061200"/>
    <n v="23062950.00000003"/>
    <n v="45112632.75"/>
    <n v="29419094.249999996"/>
    <n v="0"/>
    <n v="61318350"/>
    <n v="45019"/>
    <n v="22689576"/>
    <n v="14511124.333333353"/>
    <n v="28384704.594999999"/>
    <n v="18510387.19833333"/>
    <n v="0"/>
    <n v="38581283"/>
    <x v="0"/>
    <n v="0"/>
    <n v="0"/>
    <n v="0"/>
    <n v="0"/>
  </r>
  <r>
    <n v="563"/>
    <x v="3"/>
    <s v="P37SYLO3"/>
    <s v="SUNPLAY LOTION 30 GR"/>
    <x v="2"/>
    <n v="69300"/>
    <n v="780.99999999999875"/>
    <n v="1001.5704999999999"/>
    <n v="810.85683333333338"/>
    <n v="205"/>
    <n v="0"/>
    <n v="0"/>
    <n v="0"/>
    <n v="540"/>
    <n v="1332"/>
    <n v="36"/>
    <n v="60"/>
    <n v="205"/>
    <n v="7.5845694914083683"/>
    <n v="1878.2841666666668"/>
    <n v="792"/>
    <n v="1596.5415416666667"/>
    <n v="1584"/>
    <n v="49.112103842416907"/>
    <n v="109771200"/>
    <n v="54123299.999999911"/>
    <n v="69408835.649999991"/>
    <n v="56192378.550000004"/>
    <n v="37422000"/>
    <n v="14206500"/>
    <n v="43604"/>
    <n v="69068736"/>
    <n v="34054723.999999948"/>
    <n v="43672480.081999995"/>
    <n v="35356601.36066667"/>
    <n v="23546160"/>
    <n v="8938820"/>
    <x v="0"/>
    <n v="792"/>
    <n v="0"/>
    <n v="0"/>
    <n v="0"/>
  </r>
  <r>
    <n v="564"/>
    <x v="3"/>
    <s v="P37SYOCA"/>
    <s v="SELSUN YELLOW (OTC) 60 ML"/>
    <x v="2"/>
    <n v="32400"/>
    <n v="230.6666666666674"/>
    <n v="601.13099999999997"/>
    <n v="346.71033333333332"/>
    <n v="839"/>
    <n v="216"/>
    <n v="0"/>
    <n v="84"/>
    <n v="0"/>
    <n v="216"/>
    <n v="72"/>
    <n v="60"/>
    <n v="1139"/>
    <n v="98.554893566291184"/>
    <n v="155.55166666666673"/>
    <n v="132"/>
    <n v="155.55166666666673"/>
    <n v="144"/>
    <n v="59.00046244175013"/>
    <n v="4665600"/>
    <n v="7473600.0000000233"/>
    <n v="19476644.399999999"/>
    <n v="11233414.799999999"/>
    <n v="0"/>
    <n v="36903600"/>
    <n v="20386"/>
    <n v="2935584"/>
    <n v="4702370.6666666819"/>
    <n v="12254656.566"/>
    <n v="7068036.8553333329"/>
    <n v="0"/>
    <n v="23219654"/>
    <x v="0"/>
    <n v="12"/>
    <n v="60"/>
    <n v="60"/>
    <n v="60"/>
  </r>
  <r>
    <n v="565"/>
    <x v="3"/>
    <s v="P37SYOCB"/>
    <s v="SELSUN YELLOW (OTC) 120 ML"/>
    <x v="2"/>
    <n v="53100"/>
    <n v="2152.3333333333326"/>
    <n v="3098.538"/>
    <n v="2624.5126666666665"/>
    <n v="4928"/>
    <n v="792"/>
    <n v="144"/>
    <n v="1153"/>
    <n v="3384"/>
    <n v="648"/>
    <n v="72"/>
    <n v="60"/>
    <n v="6873"/>
    <n v="78.563156740972104"/>
    <n v="0"/>
    <n v="0"/>
    <n v="0"/>
    <n v="0"/>
    <n v="81.826185381971868"/>
    <n v="0"/>
    <n v="114288899.99999996"/>
    <n v="164532367.80000001"/>
    <n v="139361622.59999999"/>
    <n v="179690400"/>
    <n v="364956300"/>
    <n v="33411"/>
    <n v="0"/>
    <n v="71911608.99999997"/>
    <n v="103525253.118"/>
    <n v="87687592.706"/>
    <n v="113062824"/>
    <n v="229633803"/>
    <x v="0"/>
    <n v="0"/>
    <n v="0"/>
    <n v="0"/>
    <n v="0"/>
  </r>
  <r>
    <n v="566"/>
    <x v="3"/>
    <s v="P37TGHMP"/>
    <s v="TAMAGOHADA MP LOTION 100 ML"/>
    <x v="2"/>
    <n v="49500"/>
    <n v="1612.6666666666833"/>
    <n v="2343.1"/>
    <n v="1779.0333333333333"/>
    <n v="3026"/>
    <n v="234"/>
    <n v="180"/>
    <n v="516"/>
    <n v="1080"/>
    <n v="774"/>
    <n v="18"/>
    <n v="60"/>
    <n v="3776"/>
    <n v="63.67502951040828"/>
    <n v="1045.1666666666661"/>
    <n v="0"/>
    <n v="365.80833333333311"/>
    <n v="360"/>
    <n v="48.445972531899343"/>
    <n v="17820000"/>
    <n v="79827000.00000082"/>
    <n v="115983450"/>
    <n v="88062150"/>
    <n v="53460000"/>
    <n v="186912000"/>
    <n v="31145"/>
    <n v="11212200"/>
    <n v="50226503.33333385"/>
    <n v="72975849.5"/>
    <n v="55407993.166666664"/>
    <n v="33636600"/>
    <n v="117603520"/>
    <x v="0"/>
    <n v="360"/>
    <n v="0"/>
    <n v="0"/>
    <n v="0"/>
  </r>
  <r>
    <n v="567"/>
    <x v="3"/>
    <s v="P37UMGAP"/>
    <s v="HL ULTIMATE ST MASK GOKUJYUN ALPHA"/>
    <x v="2"/>
    <n v="86400"/>
    <n v="974.33333333333303"/>
    <n v="1475.4465"/>
    <n v="1050.8154999999999"/>
    <n v="1124"/>
    <n v="0"/>
    <n v="0"/>
    <n v="0"/>
    <n v="3600"/>
    <n v="1692"/>
    <n v="36"/>
    <n v="60"/>
    <n v="1124"/>
    <n v="32.089362975707914"/>
    <n v="0"/>
    <n v="0"/>
    <n v="0"/>
    <n v="0"/>
    <n v="92.743783280699617"/>
    <n v="0"/>
    <n v="84182399.99999997"/>
    <n v="127478577.59999999"/>
    <n v="90790459.199999988"/>
    <n v="311040000"/>
    <n v="97113600"/>
    <n v="54363"/>
    <n v="0"/>
    <n v="52967682.999999985"/>
    <n v="80209698.079500005"/>
    <n v="57125483.026499994"/>
    <n v="195706800"/>
    <n v="61104012"/>
    <x v="0"/>
    <n v="0"/>
    <n v="0"/>
    <n v="0"/>
    <n v="0"/>
  </r>
  <r>
    <n v="568"/>
    <x v="3"/>
    <s v="P37USHMG"/>
    <s v="HL ULTIMATE SHEET MASK GOKUJYUN"/>
    <x v="2"/>
    <n v="86400"/>
    <n v="1356.3333333333389"/>
    <n v="1994.8"/>
    <n v="1685.6"/>
    <n v="3543"/>
    <n v="396"/>
    <n v="36"/>
    <n v="396"/>
    <n v="0"/>
    <n v="612"/>
    <n v="36"/>
    <n v="60"/>
    <n v="4335"/>
    <n v="77.153535832937834"/>
    <n v="1031"/>
    <n v="252"/>
    <n v="876.35"/>
    <n v="864"/>
    <n v="57.027764594209778"/>
    <n v="74649600"/>
    <n v="117187200.00000049"/>
    <n v="172350720"/>
    <n v="145635840"/>
    <n v="0"/>
    <n v="374544000"/>
    <n v="54363"/>
    <n v="46969632"/>
    <n v="73734349.000000298"/>
    <n v="108443312.39999999"/>
    <n v="91634272.799999997"/>
    <n v="0"/>
    <n v="235663605"/>
    <x v="0"/>
    <n v="612"/>
    <n v="72"/>
    <n v="108"/>
    <n v="288"/>
  </r>
  <r>
    <n v="569"/>
    <x v="3"/>
    <s v="P37USMSR"/>
    <s v="HL ULTIMATE SHEET MASK SHIROJYUN"/>
    <x v="2"/>
    <n v="86400"/>
    <n v="1761.6666666666642"/>
    <n v="2103.8595"/>
    <n v="1915.6198333333334"/>
    <n v="2427"/>
    <n v="768"/>
    <n v="0"/>
    <n v="156"/>
    <n v="1728"/>
    <n v="792"/>
    <n v="24"/>
    <n v="60"/>
    <n v="3351"/>
    <n v="52.479097496641423"/>
    <n v="856.09916666666686"/>
    <n v="0"/>
    <n v="299.63470833333338"/>
    <n v="288"/>
    <n v="51.10315381818539"/>
    <n v="24883200"/>
    <n v="152207999.99999979"/>
    <n v="181773460.80000001"/>
    <n v="165509553.59999999"/>
    <n v="149299200"/>
    <n v="289526400"/>
    <n v="54363"/>
    <n v="15656544"/>
    <n v="95769484.999999866"/>
    <n v="114372113.9985"/>
    <n v="104138840.99950001"/>
    <n v="93939264"/>
    <n v="182170413"/>
    <x v="0"/>
    <n v="288"/>
    <n v="0"/>
    <n v="0"/>
    <n v="0"/>
  </r>
  <r>
    <n v="570"/>
    <x v="4"/>
    <s v="P6000005"/>
    <s v="SILKY NIPPLE WIDE NECK (L )"/>
    <x v="2"/>
    <n v="45000"/>
    <n v="5.3333333333333002"/>
    <n v="12"/>
    <n v="8.6666666666666679"/>
    <n v="27"/>
    <n v="0"/>
    <n v="0"/>
    <n v="0"/>
    <n v="0"/>
    <n v="24"/>
    <n v="12"/>
    <n v="60"/>
    <n v="27"/>
    <n v="93.461538461538453"/>
    <n v="2.3333333333333357"/>
    <n v="24"/>
    <n v="0"/>
    <n v="0"/>
    <n v="51.92307692307692"/>
    <n v="0"/>
    <n v="239999.99999999852"/>
    <n v="540000"/>
    <n v="390000.00000000006"/>
    <n v="0"/>
    <n v="1215000"/>
    <n v="40050"/>
    <n v="0"/>
    <n v="213599.99999999866"/>
    <n v="480600"/>
    <n v="347100.00000000006"/>
    <n v="0"/>
    <n v="1081350"/>
    <x v="0"/>
    <n v="-24"/>
    <n v="0"/>
    <n v="0"/>
    <n v="0"/>
  </r>
  <r>
    <n v="571"/>
    <x v="4"/>
    <s v="P6000006"/>
    <s v="SILKY NIPPLE STANDARD NECK (M)"/>
    <x v="2"/>
    <n v="40000"/>
    <n v="1"/>
    <n v="6"/>
    <n v="4"/>
    <n v="68"/>
    <n v="0"/>
    <n v="0"/>
    <n v="0"/>
    <n v="0"/>
    <n v="0"/>
    <n v="12"/>
    <n v="60"/>
    <n v="68"/>
    <n v="510"/>
    <n v="0"/>
    <n v="0"/>
    <n v="0"/>
    <n v="0"/>
    <n v="465"/>
    <n v="0"/>
    <n v="40000"/>
    <n v="240000"/>
    <n v="160000"/>
    <n v="0"/>
    <n v="2720000"/>
    <n v="35600"/>
    <n v="0"/>
    <n v="35600"/>
    <n v="213600"/>
    <n v="142400"/>
    <n v="0"/>
    <n v="2420800"/>
    <x v="0"/>
    <n v="0"/>
    <n v="0"/>
    <n v="0"/>
    <n v="0"/>
  </r>
  <r>
    <n v="572"/>
    <x v="4"/>
    <s v="P6000007"/>
    <s v="MOM-FIT NIPPLE WIDE NECK 2PCS(L)"/>
    <x v="2"/>
    <n v="75000"/>
    <n v="-0.33333333333332998"/>
    <n v="0"/>
    <n v="-0.33333333333333331"/>
    <n v="63"/>
    <n v="0"/>
    <n v="0"/>
    <n v="0"/>
    <n v="0"/>
    <n v="0"/>
    <n v="12"/>
    <n v="60"/>
    <n v="63"/>
    <n v="9999"/>
    <n v="0"/>
    <n v="0"/>
    <n v="0"/>
    <n v="0"/>
    <n v="9999"/>
    <n v="0"/>
    <n v="-24999.999999999749"/>
    <n v="0"/>
    <n v="-25000"/>
    <n v="0"/>
    <n v="4725000"/>
    <n v="66750"/>
    <n v="0"/>
    <n v="-22249.999999999778"/>
    <n v="0"/>
    <n v="-22250"/>
    <n v="0"/>
    <n v="4205250"/>
    <x v="0"/>
    <n v="0"/>
    <n v="0"/>
    <n v="0"/>
    <n v="0"/>
  </r>
  <r>
    <n v="573"/>
    <x v="4"/>
    <s v="P6000008"/>
    <s v="MOM-FIT NIPPLE WIDE NECK 2PCS(+)"/>
    <x v="2"/>
    <n v="75000"/>
    <n v="-2"/>
    <n v="0"/>
    <n v="0"/>
    <n v="60"/>
    <n v="0"/>
    <n v="0"/>
    <n v="0"/>
    <n v="0"/>
    <n v="0"/>
    <n v="12"/>
    <n v="60"/>
    <n v="60"/>
    <n v="9999"/>
    <n v="0"/>
    <n v="0"/>
    <n v="0"/>
    <n v="0"/>
    <n v="9999"/>
    <n v="0"/>
    <n v="-150000"/>
    <n v="0"/>
    <n v="0"/>
    <n v="0"/>
    <n v="4500000"/>
    <n v="66750"/>
    <n v="0"/>
    <n v="-133500"/>
    <n v="0"/>
    <n v="0"/>
    <n v="0"/>
    <n v="4005000"/>
    <x v="0"/>
    <n v="0"/>
    <n v="0"/>
    <n v="0"/>
    <n v="0"/>
  </r>
  <r>
    <n v="574"/>
    <x v="4"/>
    <s v="P6000009"/>
    <s v="MOM-FIT NIPPLE STNDAR NECK 2PCS(M)"/>
    <x v="2"/>
    <n v="55000"/>
    <n v="-0.66666666666666996"/>
    <n v="0"/>
    <n v="0"/>
    <n v="86"/>
    <n v="0"/>
    <n v="0"/>
    <n v="0"/>
    <n v="0"/>
    <n v="0"/>
    <n v="12"/>
    <n v="60"/>
    <n v="86"/>
    <n v="9999"/>
    <n v="0"/>
    <n v="0"/>
    <n v="0"/>
    <n v="0"/>
    <n v="9999"/>
    <n v="0"/>
    <n v="-36666.666666666846"/>
    <n v="0"/>
    <n v="0"/>
    <n v="0"/>
    <n v="4730000"/>
    <n v="48950"/>
    <n v="0"/>
    <n v="-32633.333333333496"/>
    <n v="0"/>
    <n v="0"/>
    <n v="0"/>
    <n v="4209700"/>
    <x v="0"/>
    <n v="0"/>
    <n v="0"/>
    <n v="0"/>
    <n v="0"/>
  </r>
  <r>
    <n v="575"/>
    <x v="4"/>
    <s v="P6000010"/>
    <s v="SILKY PPSU  F BOT W HANDLE 270ML(B)"/>
    <x v="2"/>
    <n v="289000"/>
    <n v="1.3333333333333299"/>
    <n v="0"/>
    <n v="-0.33333333333333331"/>
    <n v="18"/>
    <n v="0"/>
    <n v="0"/>
    <n v="0"/>
    <n v="0"/>
    <n v="0"/>
    <n v="6"/>
    <n v="60"/>
    <n v="18"/>
    <n v="9999"/>
    <n v="0"/>
    <n v="0"/>
    <n v="0"/>
    <n v="0"/>
    <n v="9999"/>
    <n v="0"/>
    <n v="385333.33333333232"/>
    <n v="0"/>
    <n v="-96333.333333333328"/>
    <n v="0"/>
    <n v="5202000"/>
    <n v="257210"/>
    <n v="0"/>
    <n v="342946.66666666581"/>
    <n v="0"/>
    <n v="-85736.666666666657"/>
    <n v="0"/>
    <n v="4629780"/>
    <x v="0"/>
    <n v="0"/>
    <n v="0"/>
    <n v="0"/>
    <n v="0"/>
  </r>
  <r>
    <n v="576"/>
    <x v="4"/>
    <s v="P6000012"/>
    <s v="SILKY PPSU STNDAR NECK F BOT140ML B"/>
    <x v="2"/>
    <n v="237000"/>
    <n v="-0.66666666666666996"/>
    <n v="0"/>
    <n v="-0.66666666666666663"/>
    <n v="0"/>
    <n v="0"/>
    <n v="0"/>
    <n v="0"/>
    <n v="0"/>
    <n v="0"/>
    <n v="12"/>
    <n v="60"/>
    <n v="0"/>
    <n v="0"/>
    <n v="0"/>
    <n v="0"/>
    <n v="0"/>
    <n v="0"/>
    <n v="0"/>
    <n v="0"/>
    <n v="-158000.00000000079"/>
    <n v="0"/>
    <n v="-158000"/>
    <n v="0"/>
    <n v="0"/>
    <n v="210930"/>
    <n v="0"/>
    <n v="-140620.0000000007"/>
    <n v="0"/>
    <n v="-140620"/>
    <n v="0"/>
    <n v="0"/>
    <x v="0"/>
    <n v="0"/>
    <n v="0"/>
    <n v="0"/>
    <n v="0"/>
  </r>
  <r>
    <n v="577"/>
    <x v="4"/>
    <s v="P6000014"/>
    <s v="PP WIDE-NECK F BOTTLE 150ML FALL(B)"/>
    <x v="2"/>
    <n v="98000"/>
    <n v="1"/>
    <n v="0"/>
    <n v="0"/>
    <n v="55"/>
    <n v="0"/>
    <n v="0"/>
    <n v="0"/>
    <n v="0"/>
    <n v="0"/>
    <n v="12"/>
    <n v="60"/>
    <n v="55"/>
    <n v="9999"/>
    <n v="0"/>
    <n v="0"/>
    <n v="0"/>
    <n v="0"/>
    <n v="9999"/>
    <n v="0"/>
    <n v="98000"/>
    <n v="0"/>
    <n v="0"/>
    <n v="0"/>
    <n v="5390000"/>
    <n v="87220"/>
    <n v="0"/>
    <n v="87220"/>
    <n v="0"/>
    <n v="0"/>
    <n v="0"/>
    <n v="4797100"/>
    <x v="0"/>
    <n v="0"/>
    <n v="0"/>
    <n v="0"/>
    <n v="0"/>
  </r>
  <r>
    <n v="578"/>
    <x v="4"/>
    <s v="P6000015"/>
    <s v="PP STANDARD NECK FEEDER 240ML(B)"/>
    <x v="2"/>
    <n v="88000"/>
    <n v="-1.3333333333333399"/>
    <n v="0"/>
    <n v="-0.66666666666666663"/>
    <n v="0"/>
    <n v="0"/>
    <n v="0"/>
    <n v="0"/>
    <n v="0"/>
    <n v="0"/>
    <n v="12"/>
    <n v="60"/>
    <n v="0"/>
    <n v="0"/>
    <n v="0"/>
    <n v="0"/>
    <n v="0"/>
    <n v="0"/>
    <n v="0"/>
    <n v="0"/>
    <n v="-117333.33333333391"/>
    <n v="0"/>
    <n v="-58666.666666666664"/>
    <n v="0"/>
    <n v="0"/>
    <n v="78320"/>
    <n v="0"/>
    <n v="-104426.66666666718"/>
    <n v="0"/>
    <n v="-52213.333333333328"/>
    <n v="0"/>
    <n v="0"/>
    <x v="0"/>
    <n v="0"/>
    <n v="0"/>
    <n v="0"/>
    <n v="0"/>
  </r>
  <r>
    <n v="579"/>
    <x v="4"/>
    <s v="P6000016"/>
    <s v="SILKY NIPPLE WIDE NECK ( Y )"/>
    <x v="2"/>
    <n v="45000"/>
    <n v="-1.6666666666667"/>
    <n v="3"/>
    <n v="1"/>
    <n v="51"/>
    <n v="0"/>
    <n v="0"/>
    <n v="0"/>
    <n v="0"/>
    <n v="0"/>
    <n v="12"/>
    <n v="60"/>
    <n v="51"/>
    <n v="1530"/>
    <n v="0"/>
    <n v="0"/>
    <n v="0"/>
    <n v="0"/>
    <n v="1440"/>
    <n v="0"/>
    <n v="-75000.000000001499"/>
    <n v="135000"/>
    <n v="45000"/>
    <n v="0"/>
    <n v="2295000"/>
    <n v="40050"/>
    <n v="0"/>
    <n v="-66750.000000001339"/>
    <n v="120150"/>
    <n v="40050"/>
    <n v="0"/>
    <n v="2042550"/>
    <x v="0"/>
    <n v="0"/>
    <n v="0"/>
    <n v="0"/>
    <n v="0"/>
  </r>
  <r>
    <n v="580"/>
    <x v="4"/>
    <s v="P6000017"/>
    <s v="SILKY NIPPLE STANDARD NECK (S)"/>
    <x v="2"/>
    <n v="40000"/>
    <n v="-1"/>
    <n v="0"/>
    <n v="0"/>
    <n v="72"/>
    <n v="0"/>
    <n v="0"/>
    <n v="0"/>
    <n v="0"/>
    <n v="0"/>
    <n v="12"/>
    <n v="60"/>
    <n v="72"/>
    <n v="9999"/>
    <n v="0"/>
    <n v="0"/>
    <n v="0"/>
    <n v="0"/>
    <n v="9999"/>
    <n v="0"/>
    <n v="-40000"/>
    <n v="0"/>
    <n v="0"/>
    <n v="0"/>
    <n v="2880000"/>
    <n v="35600"/>
    <n v="0"/>
    <n v="-35600"/>
    <n v="0"/>
    <n v="0"/>
    <n v="0"/>
    <n v="2563200"/>
    <x v="0"/>
    <n v="0"/>
    <n v="0"/>
    <n v="0"/>
    <n v="0"/>
  </r>
  <r>
    <n v="581"/>
    <x v="4"/>
    <s v="P6000018"/>
    <s v="SILKY NIPPLE STANDARD NECK (Y)"/>
    <x v="2"/>
    <n v="40000"/>
    <n v="-0.66666666666667007"/>
    <n v="0"/>
    <n v="0"/>
    <n v="47"/>
    <n v="0"/>
    <n v="0"/>
    <n v="0"/>
    <n v="0"/>
    <n v="0"/>
    <n v="12"/>
    <n v="60"/>
    <n v="47"/>
    <n v="9999"/>
    <n v="0"/>
    <n v="0"/>
    <n v="0"/>
    <n v="0"/>
    <n v="9999"/>
    <n v="0"/>
    <n v="-26666.666666666802"/>
    <n v="0"/>
    <n v="0"/>
    <n v="0"/>
    <n v="1880000"/>
    <n v="35600"/>
    <n v="0"/>
    <n v="-23733.333333333456"/>
    <n v="0"/>
    <n v="0"/>
    <n v="0"/>
    <n v="1673200"/>
    <x v="0"/>
    <n v="0"/>
    <n v="0"/>
    <n v="0"/>
    <n v="0"/>
  </r>
  <r>
    <n v="582"/>
    <x v="4"/>
    <s v="P6000019"/>
    <s v="MOM-FIT NIPPLE STNDAR NECK 2PCS(S)"/>
    <x v="2"/>
    <n v="55000"/>
    <n v="-1.6666666666667"/>
    <n v="0"/>
    <n v="0"/>
    <n v="69"/>
    <n v="0"/>
    <n v="0"/>
    <n v="2"/>
    <n v="0"/>
    <n v="0"/>
    <n v="12"/>
    <n v="60"/>
    <n v="71"/>
    <n v="9999"/>
    <n v="0"/>
    <n v="0"/>
    <n v="0"/>
    <n v="0"/>
    <n v="9999"/>
    <n v="0"/>
    <n v="-91666.666666668505"/>
    <n v="0"/>
    <n v="0"/>
    <n v="0"/>
    <n v="3905000"/>
    <n v="48950"/>
    <n v="0"/>
    <n v="-81583.333333334973"/>
    <n v="0"/>
    <n v="0"/>
    <n v="0"/>
    <n v="3475450"/>
    <x v="0"/>
    <n v="0"/>
    <n v="0"/>
    <n v="0"/>
    <n v="0"/>
  </r>
  <r>
    <n v="583"/>
    <x v="4"/>
    <s v="P6000020"/>
    <s v="MOM-FIT NIPPLE STNDAR NECK 2PCS(L)"/>
    <x v="2"/>
    <n v="55000"/>
    <n v="-0.33333333333332998"/>
    <n v="0"/>
    <n v="0"/>
    <n v="68"/>
    <n v="0"/>
    <n v="0"/>
    <n v="0"/>
    <n v="0"/>
    <n v="0"/>
    <n v="12"/>
    <n v="60"/>
    <n v="68"/>
    <n v="9999"/>
    <n v="0"/>
    <n v="0"/>
    <n v="0"/>
    <n v="0"/>
    <n v="9999"/>
    <n v="0"/>
    <n v="-18333.33333333315"/>
    <n v="0"/>
    <n v="0"/>
    <n v="0"/>
    <n v="3740000"/>
    <n v="48950"/>
    <n v="0"/>
    <n v="-16316.666666666502"/>
    <n v="0"/>
    <n v="0"/>
    <n v="0"/>
    <n v="3328600"/>
    <x v="0"/>
    <n v="0"/>
    <n v="0"/>
    <n v="0"/>
    <n v="0"/>
  </r>
  <r>
    <n v="584"/>
    <x v="4"/>
    <s v="P6000022"/>
    <s v="SLKY PPSU ST NECK F BOT HAND240ML G"/>
    <x v="2"/>
    <n v="320000"/>
    <n v="-0.66666666666666996"/>
    <n v="0"/>
    <n v="-0.66666666666666663"/>
    <n v="6"/>
    <n v="0"/>
    <n v="0"/>
    <n v="0"/>
    <n v="0"/>
    <n v="0"/>
    <n v="12"/>
    <n v="60"/>
    <n v="6"/>
    <n v="9999"/>
    <n v="0"/>
    <n v="0"/>
    <n v="0"/>
    <n v="0"/>
    <n v="9999"/>
    <n v="0"/>
    <n v="-213333.33333333439"/>
    <n v="0"/>
    <n v="-213333.33333333331"/>
    <n v="0"/>
    <n v="1920000"/>
    <n v="284800"/>
    <n v="0"/>
    <n v="-189866.66666666762"/>
    <n v="0"/>
    <n v="-189866.66666666666"/>
    <n v="0"/>
    <n v="1708800"/>
    <x v="0"/>
    <n v="0"/>
    <n v="0"/>
    <n v="0"/>
    <n v="0"/>
  </r>
  <r>
    <n v="585"/>
    <x v="4"/>
    <s v="P6000023"/>
    <s v="PP WIDE-NECK F BOT 270ML HANDLE(B)"/>
    <x v="2"/>
    <n v="124000"/>
    <n v="1.3333333333333"/>
    <n v="0"/>
    <n v="1.3333333333333333"/>
    <n v="11"/>
    <n v="0"/>
    <n v="0"/>
    <n v="0"/>
    <n v="0"/>
    <n v="0"/>
    <n v="12"/>
    <n v="60"/>
    <n v="11"/>
    <n v="247.5"/>
    <n v="0"/>
    <n v="0"/>
    <n v="0"/>
    <n v="0"/>
    <n v="247.5"/>
    <n v="0"/>
    <n v="165333.33333332918"/>
    <n v="0"/>
    <n v="165333.33333333331"/>
    <n v="0"/>
    <n v="1364000"/>
    <n v="110360"/>
    <n v="0"/>
    <n v="147146.66666666299"/>
    <n v="0"/>
    <n v="147146.66666666666"/>
    <n v="0"/>
    <n v="1213960"/>
    <x v="0"/>
    <n v="0"/>
    <n v="0"/>
    <n v="0"/>
    <n v="0"/>
  </r>
  <r>
    <n v="586"/>
    <x v="4"/>
    <s v="P6000024"/>
    <s v="PP WIDE-NECK F BOT 270ML HANDLE(G)"/>
    <x v="2"/>
    <n v="124000"/>
    <n v="-1"/>
    <n v="0"/>
    <n v="-0.66666666666666663"/>
    <n v="4"/>
    <n v="0"/>
    <n v="0"/>
    <n v="0"/>
    <n v="0"/>
    <n v="0"/>
    <n v="12"/>
    <n v="60"/>
    <n v="4"/>
    <n v="9999"/>
    <n v="0"/>
    <n v="0"/>
    <n v="0"/>
    <n v="0"/>
    <n v="9999"/>
    <n v="0"/>
    <n v="-124000"/>
    <n v="0"/>
    <n v="-82666.666666666657"/>
    <n v="0"/>
    <n v="496000"/>
    <n v="110360"/>
    <n v="0"/>
    <n v="-110360"/>
    <n v="0"/>
    <n v="-73573.333333333328"/>
    <n v="0"/>
    <n v="441440"/>
    <x v="0"/>
    <n v="0"/>
    <n v="0"/>
    <n v="0"/>
    <n v="0"/>
  </r>
  <r>
    <n v="587"/>
    <x v="4"/>
    <s v="P6000025"/>
    <s v="PP STNDR NECK FDR 240ML W HANDLE(G)"/>
    <x v="2"/>
    <n v="114000"/>
    <n v="0.33333333333330001"/>
    <n v="0"/>
    <n v="1"/>
    <n v="0"/>
    <n v="0"/>
    <n v="0"/>
    <n v="0"/>
    <n v="0"/>
    <n v="0"/>
    <n v="12"/>
    <n v="60"/>
    <n v="0"/>
    <n v="0"/>
    <n v="2"/>
    <n v="0"/>
    <n v="0"/>
    <n v="0"/>
    <n v="0"/>
    <n v="0"/>
    <n v="37999.999999996202"/>
    <n v="0"/>
    <n v="114000"/>
    <n v="0"/>
    <n v="0"/>
    <n v="101460"/>
    <n v="0"/>
    <n v="33819.999999996617"/>
    <n v="0"/>
    <n v="101460"/>
    <n v="0"/>
    <n v="0"/>
    <x v="0"/>
    <n v="0"/>
    <n v="0"/>
    <n v="0"/>
    <n v="0"/>
  </r>
  <r>
    <n v="588"/>
    <x v="4"/>
    <s v="P6000027"/>
    <s v="MOM-FIT NIPPLE STNDAR NECK 2PCS(+)"/>
    <x v="2"/>
    <n v="55000"/>
    <n v="-0.66666666666662999"/>
    <n v="0"/>
    <n v="0.66666666666666663"/>
    <n v="79"/>
    <n v="0"/>
    <n v="0"/>
    <n v="0"/>
    <n v="0"/>
    <n v="0"/>
    <n v="12"/>
    <n v="60"/>
    <n v="79"/>
    <n v="3555"/>
    <n v="0"/>
    <n v="0"/>
    <n v="0"/>
    <n v="0"/>
    <n v="3555"/>
    <n v="0"/>
    <n v="-36666.666666664649"/>
    <n v="0"/>
    <n v="36666.666666666664"/>
    <n v="0"/>
    <n v="4345000"/>
    <n v="48950"/>
    <n v="0"/>
    <n v="-32633.333333331539"/>
    <n v="0"/>
    <n v="32633.333333333332"/>
    <n v="0"/>
    <n v="3867050"/>
    <x v="0"/>
    <n v="0"/>
    <n v="0"/>
    <n v="0"/>
    <n v="0"/>
  </r>
  <r>
    <n v="589"/>
    <x v="4"/>
    <s v="P6000029"/>
    <s v="PP WIDE-NECK F BOTTLE 150ML FALL(G)"/>
    <x v="2"/>
    <n v="98000"/>
    <n v="0.66666666666667007"/>
    <n v="0"/>
    <n v="1"/>
    <n v="55"/>
    <n v="0"/>
    <n v="0"/>
    <n v="0"/>
    <n v="0"/>
    <n v="0"/>
    <n v="12"/>
    <n v="60"/>
    <n v="55"/>
    <n v="1650"/>
    <n v="0"/>
    <n v="0"/>
    <n v="0"/>
    <n v="0"/>
    <n v="1650"/>
    <n v="0"/>
    <n v="65333.33333333367"/>
    <n v="0"/>
    <n v="98000"/>
    <n v="0"/>
    <n v="5390000"/>
    <n v="87220"/>
    <n v="0"/>
    <n v="58146.666666666963"/>
    <n v="0"/>
    <n v="87220"/>
    <n v="0"/>
    <n v="4797100"/>
    <x v="0"/>
    <n v="0"/>
    <n v="0"/>
    <n v="0"/>
    <n v="0"/>
  </r>
  <r>
    <n v="590"/>
    <x v="4"/>
    <s v="P6000031"/>
    <s v="PP STANDARD NECK FEEDER 240ML(G)"/>
    <x v="2"/>
    <n v="88000"/>
    <n v="-1.3333333333333"/>
    <n v="0"/>
    <n v="0"/>
    <n v="0"/>
    <n v="0"/>
    <n v="0"/>
    <n v="0"/>
    <n v="0"/>
    <n v="0"/>
    <n v="12"/>
    <n v="60"/>
    <n v="0"/>
    <n v="0"/>
    <n v="0"/>
    <n v="0"/>
    <n v="0"/>
    <n v="0"/>
    <n v="0"/>
    <n v="0"/>
    <n v="-117333.33333333039"/>
    <n v="0"/>
    <n v="0"/>
    <n v="0"/>
    <n v="0"/>
    <n v="78320"/>
    <n v="0"/>
    <n v="-104426.66666666405"/>
    <n v="0"/>
    <n v="0"/>
    <n v="0"/>
    <n v="0"/>
    <x v="0"/>
    <n v="0"/>
    <n v="0"/>
    <n v="0"/>
    <n v="0"/>
  </r>
  <r>
    <n v="591"/>
    <x v="4"/>
    <s v="P6000032"/>
    <s v="SILKY NIPPLE WIDE NECK (S)"/>
    <x v="2"/>
    <n v="45000"/>
    <n v="-1"/>
    <n v="9"/>
    <n v="3"/>
    <n v="74"/>
    <n v="0"/>
    <n v="0"/>
    <n v="0"/>
    <n v="0"/>
    <n v="0"/>
    <n v="12"/>
    <n v="60"/>
    <n v="74"/>
    <n v="740"/>
    <n v="0"/>
    <n v="0"/>
    <n v="0"/>
    <n v="0"/>
    <n v="650"/>
    <n v="0"/>
    <n v="-45000"/>
    <n v="405000"/>
    <n v="135000"/>
    <n v="0"/>
    <n v="3330000"/>
    <n v="40050"/>
    <n v="0"/>
    <n v="-40050"/>
    <n v="360450"/>
    <n v="120150"/>
    <n v="0"/>
    <n v="2963700"/>
    <x v="0"/>
    <n v="0"/>
    <n v="0"/>
    <n v="0"/>
    <n v="0"/>
  </r>
  <r>
    <n v="592"/>
    <x v="4"/>
    <s v="P6000033"/>
    <s v="SILKY NIPPLE WIDE NECK (M)"/>
    <x v="2"/>
    <n v="45000"/>
    <n v="0.33333333333333998"/>
    <n v="3"/>
    <n v="1"/>
    <n v="36"/>
    <n v="0"/>
    <n v="0"/>
    <n v="0"/>
    <n v="0"/>
    <n v="0"/>
    <n v="12"/>
    <n v="60"/>
    <n v="36"/>
    <n v="1080"/>
    <n v="0"/>
    <n v="0"/>
    <n v="0"/>
    <n v="0"/>
    <n v="990"/>
    <n v="0"/>
    <n v="15000.000000000298"/>
    <n v="135000"/>
    <n v="45000"/>
    <n v="0"/>
    <n v="1620000"/>
    <n v="40050"/>
    <n v="0"/>
    <n v="13350.000000000266"/>
    <n v="120150"/>
    <n v="40050"/>
    <n v="0"/>
    <n v="1441800"/>
    <x v="0"/>
    <n v="0"/>
    <n v="0"/>
    <n v="0"/>
    <n v="0"/>
  </r>
  <r>
    <n v="593"/>
    <x v="4"/>
    <s v="P6000034"/>
    <s v="SILKY NIPPLE STANDARD NECK (L)"/>
    <x v="2"/>
    <n v="40000"/>
    <n v="-0.66666666666666996"/>
    <n v="6"/>
    <n v="2"/>
    <n v="58"/>
    <n v="0"/>
    <n v="0"/>
    <n v="0"/>
    <n v="0"/>
    <n v="0"/>
    <n v="12"/>
    <n v="60"/>
    <n v="58"/>
    <n v="870"/>
    <n v="0"/>
    <n v="0"/>
    <n v="0"/>
    <n v="0"/>
    <n v="780"/>
    <n v="0"/>
    <n v="-26666.666666666799"/>
    <n v="240000"/>
    <n v="80000"/>
    <n v="0"/>
    <n v="2320000"/>
    <n v="35600"/>
    <n v="0"/>
    <n v="-23733.333333333452"/>
    <n v="213600"/>
    <n v="71200"/>
    <n v="0"/>
    <n v="2064800"/>
    <x v="0"/>
    <n v="0"/>
    <n v="0"/>
    <n v="0"/>
    <n v="0"/>
  </r>
  <r>
    <n v="594"/>
    <x v="4"/>
    <s v="P6000035"/>
    <s v="MOM-FIT NIPPLE WIDE NECK 2PCS(S)"/>
    <x v="2"/>
    <n v="75000"/>
    <n v="-1.6666666666667"/>
    <n v="0"/>
    <n v="0"/>
    <n v="81"/>
    <n v="0"/>
    <n v="0"/>
    <n v="0"/>
    <n v="0"/>
    <n v="0"/>
    <n v="12"/>
    <n v="60"/>
    <n v="81"/>
    <n v="9999"/>
    <n v="0"/>
    <n v="0"/>
    <n v="0"/>
    <n v="0"/>
    <n v="9999"/>
    <n v="0"/>
    <n v="-125000.0000000025"/>
    <n v="0"/>
    <n v="0"/>
    <n v="0"/>
    <n v="6075000"/>
    <n v="66750"/>
    <n v="0"/>
    <n v="-111250.00000000223"/>
    <n v="0"/>
    <n v="0"/>
    <n v="0"/>
    <n v="5406750"/>
    <x v="0"/>
    <n v="0"/>
    <n v="0"/>
    <n v="0"/>
    <n v="0"/>
  </r>
  <r>
    <n v="595"/>
    <x v="4"/>
    <s v="P6000036"/>
    <s v="MOM-FIT NIPPLE WIDE NECK 2PCS(M)"/>
    <x v="2"/>
    <n v="75000"/>
    <n v="0.33333333333333998"/>
    <n v="0"/>
    <n v="0.66666666666666663"/>
    <n v="74"/>
    <n v="0"/>
    <n v="0"/>
    <n v="0"/>
    <n v="0"/>
    <n v="0"/>
    <n v="12"/>
    <n v="60"/>
    <n v="74"/>
    <n v="3330"/>
    <n v="0"/>
    <n v="0"/>
    <n v="0"/>
    <n v="0"/>
    <n v="3330"/>
    <n v="0"/>
    <n v="25000.000000000498"/>
    <n v="0"/>
    <n v="50000"/>
    <n v="0"/>
    <n v="5550000"/>
    <n v="66750"/>
    <n v="0"/>
    <n v="22250.000000000444"/>
    <n v="0"/>
    <n v="44500"/>
    <n v="0"/>
    <n v="4939500"/>
    <x v="0"/>
    <n v="0"/>
    <n v="0"/>
    <n v="0"/>
    <n v="0"/>
  </r>
  <r>
    <n v="596"/>
    <x v="4"/>
    <s v="P6000040"/>
    <s v="PP STNDR NECK FDR 240ML W HANDLE(B)"/>
    <x v="2"/>
    <n v="114000"/>
    <n v="-0.66666666666666996"/>
    <n v="0"/>
    <n v="-0.66666666666666663"/>
    <n v="31"/>
    <n v="0"/>
    <n v="0"/>
    <n v="0"/>
    <n v="0"/>
    <n v="0"/>
    <n v="12"/>
    <n v="60"/>
    <n v="31"/>
    <n v="9999"/>
    <n v="0"/>
    <n v="0"/>
    <n v="0"/>
    <n v="0"/>
    <n v="9999"/>
    <n v="0"/>
    <n v="-76000.000000000378"/>
    <n v="0"/>
    <n v="-76000"/>
    <n v="0"/>
    <n v="3534000"/>
    <n v="101460"/>
    <n v="0"/>
    <n v="-67640.000000000335"/>
    <n v="0"/>
    <n v="-67640"/>
    <n v="0"/>
    <n v="3145260"/>
    <x v="0"/>
    <n v="0"/>
    <n v="0"/>
    <n v="0"/>
    <n v="0"/>
  </r>
  <r>
    <n v="597"/>
    <x v="4"/>
    <s v="P6000041"/>
    <s v="MSL GENTLE CLEANSING GEL 750ML"/>
    <x v="3"/>
    <n v="388000"/>
    <n v="303.33333333333405"/>
    <n v="337"/>
    <n v="293.66666666666669"/>
    <n v="595"/>
    <n v="144"/>
    <n v="0"/>
    <n v="0"/>
    <n v="0"/>
    <n v="120"/>
    <n v="12"/>
    <n v="60"/>
    <n v="739"/>
    <n v="75.493757094211119"/>
    <n v="185.33333333333337"/>
    <n v="120"/>
    <n v="120"/>
    <n v="120"/>
    <n v="53.325766174801359"/>
    <n v="46560000"/>
    <n v="117693333.33333361"/>
    <n v="130756000"/>
    <n v="113942666.66666667"/>
    <n v="0"/>
    <n v="286732000"/>
    <n v="345320"/>
    <n v="41438400"/>
    <n v="104747066.66666691"/>
    <n v="116372840"/>
    <n v="101408973.33333334"/>
    <n v="0"/>
    <n v="255191480"/>
    <x v="0"/>
    <n v="0"/>
    <n v="0"/>
    <n v="0"/>
    <n v="0"/>
  </r>
  <r>
    <n v="598"/>
    <x v="4"/>
    <s v="P6000042"/>
    <s v="MOTHERLOVE NURTURING COMFORT GEL"/>
    <x v="2"/>
    <n v="78000"/>
    <n v="92.666666666666302"/>
    <n v="105.8965"/>
    <n v="98.965499999999992"/>
    <n v="247"/>
    <n v="0"/>
    <n v="0"/>
    <n v="0"/>
    <n v="0"/>
    <n v="177"/>
    <n v="56"/>
    <n v="60"/>
    <n v="247"/>
    <n v="74.874577504281802"/>
    <n v="56.827499999999986"/>
    <n v="177"/>
    <n v="56.827499999999986"/>
    <n v="56"/>
    <n v="59.749155008563591"/>
    <n v="4368000"/>
    <n v="7227999.9999999711"/>
    <n v="8259927"/>
    <n v="7719308.9999999991"/>
    <n v="0"/>
    <n v="19266000"/>
    <n v="68250"/>
    <n v="3822000"/>
    <n v="6324499.9999999749"/>
    <n v="7227436.125"/>
    <n v="6754395.3749999991"/>
    <n v="0"/>
    <n v="16857750"/>
    <x v="0"/>
    <n v="-121"/>
    <n v="0"/>
    <n v="0"/>
    <n v="0"/>
  </r>
  <r>
    <n v="599"/>
    <x v="4"/>
    <s v="P6000044"/>
    <s v="MOTHERLOVE AP SANITIZING WATER 60ML"/>
    <x v="2"/>
    <n v="63000"/>
    <n v="90.000000000000313"/>
    <n v="95.15"/>
    <n v="92.05"/>
    <n v="305"/>
    <n v="0"/>
    <n v="0"/>
    <n v="0"/>
    <n v="0"/>
    <n v="72"/>
    <n v="12"/>
    <n v="60"/>
    <n v="305"/>
    <n v="99.40249864204236"/>
    <n v="0"/>
    <n v="72"/>
    <n v="0"/>
    <n v="0"/>
    <n v="68.392178164041283"/>
    <n v="0"/>
    <n v="5670000.0000000196"/>
    <n v="5994450"/>
    <n v="5799150"/>
    <n v="0"/>
    <n v="19215000"/>
    <n v="55125"/>
    <n v="0"/>
    <n v="4961250.0000000177"/>
    <n v="5245143.75"/>
    <n v="5074256.25"/>
    <n v="0"/>
    <n v="16813125"/>
    <x v="0"/>
    <n v="-72"/>
    <n v="0"/>
    <n v="0"/>
    <n v="0"/>
  </r>
  <r>
    <n v="600"/>
    <x v="4"/>
    <s v="P6000045"/>
    <s v="MOTHERLOVE AP SANITIZING WATER200ML"/>
    <x v="2"/>
    <n v="108000"/>
    <n v="66.3333333333333"/>
    <n v="88.2"/>
    <n v="82.066666666666663"/>
    <n v="263"/>
    <n v="11"/>
    <n v="0"/>
    <n v="0"/>
    <n v="0"/>
    <n v="48"/>
    <n v="12"/>
    <n v="60"/>
    <n v="274"/>
    <n v="100.16246953696182"/>
    <n v="0"/>
    <n v="48"/>
    <n v="0"/>
    <n v="0"/>
    <n v="67.920389926888717"/>
    <n v="0"/>
    <n v="7163999.9999999963"/>
    <n v="9525600"/>
    <n v="8863200"/>
    <n v="0"/>
    <n v="29592000"/>
    <n v="94500"/>
    <n v="0"/>
    <n v="6268499.9999999972"/>
    <n v="8334900"/>
    <n v="7755300"/>
    <n v="0"/>
    <n v="25893000"/>
    <x v="0"/>
    <n v="-48"/>
    <n v="0"/>
    <n v="0"/>
    <n v="0"/>
  </r>
  <r>
    <n v="601"/>
    <x v="4"/>
    <s v="P6000049"/>
    <s v="INTERLAC + VIT D3"/>
    <x v="3"/>
    <n v="393750"/>
    <n v="100.33333333333225"/>
    <n v="101.596"/>
    <n v="104.53200000000001"/>
    <n v="365"/>
    <n v="23"/>
    <n v="24"/>
    <n v="0"/>
    <n v="24"/>
    <n v="50"/>
    <n v="300"/>
    <n v="60"/>
    <n v="388"/>
    <n v="111.35346114108597"/>
    <n v="0"/>
    <n v="50"/>
    <n v="0"/>
    <n v="0"/>
    <n v="89.083916886694965"/>
    <n v="0"/>
    <n v="39506249.999999575"/>
    <n v="40003425"/>
    <n v="41159475.000000007"/>
    <n v="9450000"/>
    <n v="152775000"/>
    <n v="350438"/>
    <n v="0"/>
    <n v="35160612.666666284"/>
    <n v="35603099.048"/>
    <n v="36631985.016000003"/>
    <n v="8410512"/>
    <n v="135969944"/>
    <x v="0"/>
    <n v="-50"/>
    <n v="0"/>
    <n v="0"/>
    <n v="0"/>
  </r>
  <r>
    <n v="602"/>
    <x v="4"/>
    <s v="P6000051"/>
    <s v="PACIFIER STORAGE BOX - ABU-ABU"/>
    <x v="2"/>
    <n v="67000"/>
    <n v="1"/>
    <n v="3"/>
    <n v="2"/>
    <n v="60"/>
    <n v="0"/>
    <n v="0"/>
    <n v="0"/>
    <n v="0"/>
    <n v="0"/>
    <n v="12"/>
    <n v="60"/>
    <n v="60"/>
    <n v="900"/>
    <n v="0"/>
    <n v="0"/>
    <n v="0"/>
    <n v="0"/>
    <n v="855"/>
    <n v="0"/>
    <n v="67000"/>
    <n v="201000"/>
    <n v="134000"/>
    <n v="0"/>
    <n v="4020000"/>
    <n v="59630"/>
    <n v="0"/>
    <n v="59630"/>
    <n v="178890"/>
    <n v="119260"/>
    <n v="0"/>
    <n v="3577800"/>
    <x v="0"/>
    <n v="0"/>
    <n v="0"/>
    <n v="0"/>
    <n v="0"/>
  </r>
  <r>
    <n v="603"/>
    <x v="4"/>
    <s v="P6000052"/>
    <s v="BOTTLE &amp; NIPPLE BRUSHES"/>
    <x v="2"/>
    <n v="62000"/>
    <n v="12.66666666666667"/>
    <n v="13"/>
    <n v="13"/>
    <n v="99"/>
    <n v="11"/>
    <n v="0"/>
    <n v="0"/>
    <n v="0"/>
    <n v="0"/>
    <n v="12"/>
    <n v="60"/>
    <n v="110"/>
    <n v="253.84615384615384"/>
    <n v="0"/>
    <n v="0"/>
    <n v="0"/>
    <n v="0"/>
    <n v="223.84615384615384"/>
    <n v="0"/>
    <n v="785333.33333333349"/>
    <n v="806000"/>
    <n v="806000"/>
    <n v="0"/>
    <n v="6820000"/>
    <n v="55180"/>
    <n v="0"/>
    <n v="698946.66666666686"/>
    <n v="717340"/>
    <n v="717340"/>
    <n v="0"/>
    <n v="6069800"/>
    <x v="0"/>
    <n v="0"/>
    <n v="0"/>
    <n v="0"/>
    <n v="0"/>
  </r>
  <r>
    <n v="604"/>
    <x v="4"/>
    <s v="P6000054"/>
    <s v="SPONGE REPLACEABLE BRUSH - BIRU"/>
    <x v="2"/>
    <n v="108000"/>
    <n v="0"/>
    <n v="0"/>
    <n v="0"/>
    <n v="41"/>
    <n v="0"/>
    <n v="0"/>
    <n v="0"/>
    <n v="0"/>
    <n v="0"/>
    <n v="12"/>
    <n v="60"/>
    <n v="41"/>
    <n v="9999"/>
    <n v="0"/>
    <n v="0"/>
    <n v="0"/>
    <n v="0"/>
    <n v="9999"/>
    <n v="0"/>
    <n v="0"/>
    <n v="0"/>
    <n v="0"/>
    <n v="0"/>
    <n v="4428000"/>
    <n v="96120"/>
    <n v="0"/>
    <n v="0"/>
    <n v="0"/>
    <n v="0"/>
    <n v="0"/>
    <n v="3940920"/>
    <x v="0"/>
    <n v="0"/>
    <n v="0"/>
    <n v="0"/>
    <n v="0"/>
  </r>
  <r>
    <n v="605"/>
    <x v="4"/>
    <s v="P6000055"/>
    <s v="PACIFIER STORAGE BOX - KUNING"/>
    <x v="2"/>
    <n v="67000"/>
    <n v="-9.9920072216264089E-15"/>
    <n v="3"/>
    <n v="1"/>
    <n v="31"/>
    <n v="0"/>
    <n v="0"/>
    <n v="0"/>
    <n v="0"/>
    <n v="0"/>
    <n v="12"/>
    <n v="60"/>
    <n v="31"/>
    <n v="930"/>
    <n v="0"/>
    <n v="0"/>
    <n v="0"/>
    <n v="0"/>
    <n v="840"/>
    <n v="0"/>
    <n v="-6.6946448384896939E-10"/>
    <n v="201000"/>
    <n v="67000"/>
    <n v="0"/>
    <n v="2077000"/>
    <n v="59630"/>
    <n v="0"/>
    <n v="-5.9582339062558276E-10"/>
    <n v="178890"/>
    <n v="59630"/>
    <n v="0"/>
    <n v="1848530"/>
    <x v="0"/>
    <n v="0"/>
    <n v="0"/>
    <n v="0"/>
    <n v="0"/>
  </r>
  <r>
    <n v="606"/>
    <x v="4"/>
    <s v="P6000057"/>
    <s v="PACIFIER STORAGE BOX - BIRU"/>
    <x v="2"/>
    <n v="67000"/>
    <n v="0.33333333333332998"/>
    <n v="3"/>
    <n v="1.3333333333333333"/>
    <n v="41"/>
    <n v="0"/>
    <n v="0"/>
    <n v="0"/>
    <n v="0"/>
    <n v="0"/>
    <n v="12"/>
    <n v="60"/>
    <n v="41"/>
    <n v="922.5"/>
    <n v="0"/>
    <n v="0"/>
    <n v="0"/>
    <n v="0"/>
    <n v="855"/>
    <n v="0"/>
    <n v="22333.33333333311"/>
    <n v="201000"/>
    <n v="89333.333333333328"/>
    <n v="0"/>
    <n v="2747000"/>
    <n v="59630"/>
    <n v="0"/>
    <n v="19876.666666666468"/>
    <n v="178890"/>
    <n v="79506.666666666657"/>
    <n v="0"/>
    <n v="2444830"/>
    <x v="0"/>
    <n v="0"/>
    <n v="0"/>
    <n v="0"/>
    <n v="0"/>
  </r>
  <r>
    <n v="607"/>
    <x v="4"/>
    <s v="P6000058"/>
    <s v="MILK POWDER CONTAINER MEDIUM BF183A"/>
    <x v="2"/>
    <n v="88000"/>
    <n v="9.6666666666666003"/>
    <n v="14"/>
    <n v="7"/>
    <n v="68"/>
    <n v="0"/>
    <n v="0"/>
    <n v="0"/>
    <n v="0"/>
    <n v="0"/>
    <n v="12"/>
    <n v="60"/>
    <n v="68"/>
    <n v="291.42857142857139"/>
    <n v="0"/>
    <n v="0"/>
    <n v="0"/>
    <n v="0"/>
    <n v="231.42857142857144"/>
    <n v="0"/>
    <n v="850666.66666666081"/>
    <n v="1232000"/>
    <n v="616000"/>
    <n v="0"/>
    <n v="5984000"/>
    <n v="78320"/>
    <n v="0"/>
    <n v="757093.33333332813"/>
    <n v="1096480"/>
    <n v="548240"/>
    <n v="0"/>
    <n v="5325760"/>
    <x v="0"/>
    <n v="0"/>
    <n v="0"/>
    <n v="0"/>
    <n v="0"/>
  </r>
  <r>
    <n v="608"/>
    <x v="4"/>
    <s v="P6000059"/>
    <s v="MILK POWDER CONTAINER LARGE BF183"/>
    <x v="2"/>
    <n v="98000"/>
    <n v="8.0000000000000302"/>
    <n v="13"/>
    <n v="7"/>
    <n v="63"/>
    <n v="0"/>
    <n v="0"/>
    <n v="0"/>
    <n v="0"/>
    <n v="0"/>
    <n v="12"/>
    <n v="60"/>
    <n v="63"/>
    <n v="270"/>
    <n v="0"/>
    <n v="0"/>
    <n v="0"/>
    <n v="0"/>
    <n v="214.28571428571431"/>
    <n v="0"/>
    <n v="784000.00000000291"/>
    <n v="1274000"/>
    <n v="686000"/>
    <n v="0"/>
    <n v="6174000"/>
    <n v="87220"/>
    <n v="0"/>
    <n v="697760.00000000268"/>
    <n v="1133860"/>
    <n v="610540"/>
    <n v="0"/>
    <n v="5494860"/>
    <x v="0"/>
    <n v="0"/>
    <n v="0"/>
    <n v="0"/>
    <n v="0"/>
  </r>
  <r>
    <n v="609"/>
    <x v="4"/>
    <s v="P6000060"/>
    <s v="COMB &amp; BRUSH SET - BIRU - BF 150"/>
    <x v="2"/>
    <n v="88000"/>
    <n v="8.6666666666666305"/>
    <n v="10"/>
    <n v="9"/>
    <n v="125"/>
    <n v="0"/>
    <n v="0"/>
    <n v="0"/>
    <n v="0"/>
    <n v="12"/>
    <n v="12"/>
    <n v="60"/>
    <n v="125"/>
    <n v="416.66666666666669"/>
    <n v="0"/>
    <n v="12"/>
    <n v="0"/>
    <n v="0"/>
    <n v="383.33333333333337"/>
    <n v="0"/>
    <n v="762666.66666666348"/>
    <n v="880000"/>
    <n v="792000"/>
    <n v="0"/>
    <n v="11000000"/>
    <n v="78320"/>
    <n v="0"/>
    <n v="678773.33333333046"/>
    <n v="783200"/>
    <n v="704880"/>
    <n v="0"/>
    <n v="9790000"/>
    <x v="0"/>
    <n v="-12"/>
    <n v="0"/>
    <n v="0"/>
    <n v="0"/>
  </r>
  <r>
    <n v="610"/>
    <x v="4"/>
    <s v="P6000061"/>
    <s v="COMB &amp; BRUSH SET - PINK - BF 150"/>
    <x v="2"/>
    <n v="88000"/>
    <n v="5"/>
    <n v="3"/>
    <n v="3.666666666666667"/>
    <n v="95"/>
    <n v="0"/>
    <n v="0"/>
    <n v="0"/>
    <n v="0"/>
    <n v="0"/>
    <n v="12"/>
    <n v="60"/>
    <n v="95"/>
    <n v="777.27272727272725"/>
    <n v="0"/>
    <n v="0"/>
    <n v="0"/>
    <n v="0"/>
    <n v="752.72727272727275"/>
    <n v="0"/>
    <n v="440000"/>
    <n v="264000"/>
    <n v="322666.66666666669"/>
    <n v="0"/>
    <n v="8360000"/>
    <n v="78320"/>
    <n v="0"/>
    <n v="391600"/>
    <n v="234960"/>
    <n v="287173.33333333337"/>
    <n v="0"/>
    <n v="7440400"/>
    <x v="0"/>
    <n v="0"/>
    <n v="0"/>
    <n v="0"/>
    <n v="0"/>
  </r>
  <r>
    <n v="611"/>
    <x v="4"/>
    <s v="P6000062"/>
    <s v="COMB &amp; BRUSH SET - HIJAU - BF 150A"/>
    <x v="2"/>
    <n v="103000"/>
    <n v="11.99999999999994"/>
    <n v="6"/>
    <n v="7.6666666666666661"/>
    <n v="99"/>
    <n v="0"/>
    <n v="0"/>
    <n v="0"/>
    <n v="0"/>
    <n v="0"/>
    <n v="12"/>
    <n v="60"/>
    <n v="99"/>
    <n v="387.39130434782612"/>
    <n v="0"/>
    <n v="0"/>
    <n v="0"/>
    <n v="0"/>
    <n v="363.91304347826093"/>
    <n v="0"/>
    <n v="1235999.9999999937"/>
    <n v="618000"/>
    <n v="789666.66666666663"/>
    <n v="0"/>
    <n v="10197000"/>
    <n v="91670"/>
    <n v="0"/>
    <n v="1100039.9999999944"/>
    <n v="550020"/>
    <n v="702803.33333333326"/>
    <n v="0"/>
    <n v="9075330"/>
    <x v="0"/>
    <n v="0"/>
    <n v="0"/>
    <n v="0"/>
    <n v="0"/>
  </r>
  <r>
    <n v="612"/>
    <x v="4"/>
    <s v="P6000063"/>
    <s v="PACIFIER STORAGE BOX - COKLAT"/>
    <x v="2"/>
    <n v="67000"/>
    <n v="1"/>
    <n v="3"/>
    <n v="2"/>
    <n v="52"/>
    <n v="0"/>
    <n v="0"/>
    <n v="0"/>
    <n v="0"/>
    <n v="0"/>
    <n v="12"/>
    <n v="60"/>
    <n v="52"/>
    <n v="780"/>
    <n v="0"/>
    <n v="0"/>
    <n v="0"/>
    <n v="0"/>
    <n v="735"/>
    <n v="0"/>
    <n v="67000"/>
    <n v="201000"/>
    <n v="134000"/>
    <n v="0"/>
    <n v="3484000"/>
    <n v="59630"/>
    <n v="0"/>
    <n v="59630"/>
    <n v="178890"/>
    <n v="119260"/>
    <n v="0"/>
    <n v="3100760"/>
    <x v="0"/>
    <n v="0"/>
    <n v="0"/>
    <n v="0"/>
    <n v="0"/>
  </r>
  <r>
    <n v="613"/>
    <x v="4"/>
    <s v="P6000065"/>
    <s v="PACIFIER CLIP - PINK BA-30004"/>
    <x v="2"/>
    <n v="62000"/>
    <n v="27.000000000000298"/>
    <n v="24"/>
    <n v="23.666666666666664"/>
    <n v="136"/>
    <n v="0"/>
    <n v="0"/>
    <n v="0"/>
    <n v="0"/>
    <n v="0"/>
    <n v="24"/>
    <n v="60"/>
    <n v="136"/>
    <n v="172.3943661971831"/>
    <n v="0"/>
    <n v="0"/>
    <n v="0"/>
    <n v="0"/>
    <n v="141.97183098591552"/>
    <n v="0"/>
    <n v="1674000.0000000184"/>
    <n v="1488000"/>
    <n v="1467333.3333333333"/>
    <n v="0"/>
    <n v="8432000"/>
    <n v="55180"/>
    <n v="0"/>
    <n v="1489860.0000000165"/>
    <n v="1324320"/>
    <n v="1305926.6666666665"/>
    <n v="0"/>
    <n v="7504480"/>
    <x v="0"/>
    <n v="0"/>
    <n v="0"/>
    <n v="0"/>
    <n v="0"/>
  </r>
  <r>
    <n v="614"/>
    <x v="4"/>
    <s v="P6000066"/>
    <s v="PACIFIER CLIP - HIJAU BA-30005"/>
    <x v="2"/>
    <n v="62000"/>
    <n v="36.666666666666998"/>
    <n v="33"/>
    <n v="33.333333333333329"/>
    <n v="116"/>
    <n v="0"/>
    <n v="0"/>
    <n v="7"/>
    <n v="0"/>
    <n v="0"/>
    <n v="24"/>
    <n v="60"/>
    <n v="123"/>
    <n v="110.70000000000002"/>
    <n v="0"/>
    <n v="0"/>
    <n v="0"/>
    <n v="0"/>
    <n v="81"/>
    <n v="0"/>
    <n v="2273333.333333354"/>
    <n v="2046000"/>
    <n v="2066666.6666666663"/>
    <n v="0"/>
    <n v="7626000"/>
    <n v="55180"/>
    <n v="0"/>
    <n v="2023266.6666666849"/>
    <n v="1820940"/>
    <n v="1839333.333333333"/>
    <n v="0"/>
    <n v="6787140"/>
    <x v="0"/>
    <n v="0"/>
    <n v="0"/>
    <n v="0"/>
    <n v="0"/>
  </r>
  <r>
    <n v="615"/>
    <x v="4"/>
    <s v="P6000068"/>
    <s v="COMB &amp; BRUSH SET - PINK - BF 150A"/>
    <x v="2"/>
    <n v="103000"/>
    <n v="9.9999999999999698"/>
    <n v="5"/>
    <n v="9.3333333333333339"/>
    <n v="54"/>
    <n v="0"/>
    <n v="0"/>
    <n v="0"/>
    <n v="0"/>
    <n v="12"/>
    <n v="12"/>
    <n v="60"/>
    <n v="54"/>
    <n v="173.57142857142856"/>
    <n v="0"/>
    <n v="12"/>
    <n v="0"/>
    <n v="0"/>
    <n v="157.5"/>
    <n v="0"/>
    <n v="1029999.9999999969"/>
    <n v="515000"/>
    <n v="961333.33333333337"/>
    <n v="0"/>
    <n v="5562000"/>
    <n v="91670"/>
    <n v="0"/>
    <n v="916699.99999999721"/>
    <n v="458350"/>
    <n v="855586.66666666674"/>
    <n v="0"/>
    <n v="4950180"/>
    <x v="0"/>
    <n v="-12"/>
    <n v="0"/>
    <n v="0"/>
    <n v="0"/>
  </r>
  <r>
    <n v="616"/>
    <x v="4"/>
    <s v="P6000069"/>
    <s v="LIGHTING EAR CLEANER - PUTIH"/>
    <x v="2"/>
    <n v="134000"/>
    <n v="10.000000000000071"/>
    <n v="11"/>
    <n v="9.3333333333333321"/>
    <n v="68"/>
    <n v="6"/>
    <n v="0"/>
    <n v="30"/>
    <n v="0"/>
    <n v="0"/>
    <n v="48"/>
    <n v="60"/>
    <n v="104"/>
    <n v="334.28571428571433"/>
    <n v="0"/>
    <n v="0"/>
    <n v="0"/>
    <n v="0"/>
    <n v="298.92857142857144"/>
    <n v="0"/>
    <n v="1340000.0000000095"/>
    <n v="1474000"/>
    <n v="1250666.6666666665"/>
    <n v="0"/>
    <n v="13936000"/>
    <n v="119260"/>
    <n v="0"/>
    <n v="1192600.0000000084"/>
    <n v="1311860"/>
    <n v="1113093.3333333333"/>
    <n v="0"/>
    <n v="12403040"/>
    <x v="0"/>
    <n v="0"/>
    <n v="0"/>
    <n v="0"/>
    <n v="0"/>
  </r>
  <r>
    <n v="617"/>
    <x v="4"/>
    <s v="P6000070"/>
    <s v="D NAIL CLIPPER W MAGNIFIER HIJAU"/>
    <x v="2"/>
    <n v="101000"/>
    <n v="12.3333333333333"/>
    <n v="6"/>
    <n v="10.666666666666668"/>
    <n v="45"/>
    <n v="0"/>
    <n v="0"/>
    <n v="18"/>
    <n v="0"/>
    <n v="0"/>
    <n v="24"/>
    <n v="60"/>
    <n v="63"/>
    <n v="177.18749999999997"/>
    <n v="0"/>
    <n v="0"/>
    <n v="0"/>
    <n v="0"/>
    <n v="160.31249999999997"/>
    <n v="0"/>
    <n v="1245666.6666666633"/>
    <n v="606000"/>
    <n v="1077333.3333333335"/>
    <n v="0"/>
    <n v="6363000"/>
    <n v="89890"/>
    <n v="0"/>
    <n v="1108643.3333333305"/>
    <n v="539340"/>
    <n v="958826.66666666674"/>
    <n v="0"/>
    <n v="5663070"/>
    <x v="0"/>
    <n v="0"/>
    <n v="0"/>
    <n v="0"/>
    <n v="0"/>
  </r>
  <r>
    <n v="618"/>
    <x v="4"/>
    <s v="P6000071"/>
    <s v="LIGHTING EAR CLEANER - HIJAU"/>
    <x v="2"/>
    <n v="134000"/>
    <n v="8.9999999999999698"/>
    <n v="8"/>
    <n v="10.666666666666668"/>
    <n v="173"/>
    <n v="0"/>
    <n v="0"/>
    <n v="0"/>
    <n v="0"/>
    <n v="0"/>
    <n v="48"/>
    <n v="60"/>
    <n v="173"/>
    <n v="486.56249999999989"/>
    <n v="0"/>
    <n v="0"/>
    <n v="0"/>
    <n v="0"/>
    <n v="464.06249999999994"/>
    <n v="0"/>
    <n v="1205999.999999996"/>
    <n v="1072000"/>
    <n v="1429333.3333333335"/>
    <n v="0"/>
    <n v="23182000"/>
    <n v="119260"/>
    <n v="0"/>
    <n v="1073339.9999999965"/>
    <n v="954080"/>
    <n v="1272106.6666666667"/>
    <n v="0"/>
    <n v="20631980"/>
    <x v="0"/>
    <n v="0"/>
    <n v="0"/>
    <n v="0"/>
    <n v="0"/>
  </r>
  <r>
    <n v="619"/>
    <x v="4"/>
    <s v="P6000072"/>
    <s v="NOSE CLEANING CLIP"/>
    <x v="2"/>
    <n v="62000"/>
    <n v="14.3333333333334"/>
    <n v="7"/>
    <n v="13.333333333333332"/>
    <n v="84"/>
    <n v="0"/>
    <n v="0"/>
    <n v="0"/>
    <n v="0"/>
    <n v="24"/>
    <n v="24"/>
    <n v="60"/>
    <n v="84"/>
    <n v="189.00000000000003"/>
    <n v="0"/>
    <n v="24"/>
    <n v="0"/>
    <n v="0"/>
    <n v="173.25"/>
    <n v="0"/>
    <n v="888666.66666667082"/>
    <n v="434000"/>
    <n v="826666.66666666663"/>
    <n v="0"/>
    <n v="5208000"/>
    <n v="55180"/>
    <n v="0"/>
    <n v="790913.33333333698"/>
    <n v="386260"/>
    <n v="735733.33333333326"/>
    <n v="0"/>
    <n v="4635120"/>
    <x v="0"/>
    <n v="-24"/>
    <n v="0"/>
    <n v="0"/>
    <n v="0"/>
  </r>
  <r>
    <n v="620"/>
    <x v="4"/>
    <s v="P6000073"/>
    <s v="D NAIL CLIPPER W MAGNIFIER PINK"/>
    <x v="2"/>
    <n v="101000"/>
    <n v="13.000000000000071"/>
    <n v="4"/>
    <n v="11"/>
    <n v="127"/>
    <n v="0"/>
    <n v="0"/>
    <n v="18"/>
    <n v="0"/>
    <n v="0"/>
    <n v="24"/>
    <n v="60"/>
    <n v="145"/>
    <n v="395.45454545454544"/>
    <n v="0"/>
    <n v="0"/>
    <n v="0"/>
    <n v="0"/>
    <n v="384.54545454545456"/>
    <n v="0"/>
    <n v="1313000.0000000072"/>
    <n v="404000"/>
    <n v="1111000"/>
    <n v="0"/>
    <n v="14645000"/>
    <n v="89890"/>
    <n v="0"/>
    <n v="1168570.0000000063"/>
    <n v="359560"/>
    <n v="988790"/>
    <n v="0"/>
    <n v="13034050"/>
    <x v="0"/>
    <n v="0"/>
    <n v="0"/>
    <n v="0"/>
    <n v="0"/>
  </r>
  <r>
    <n v="621"/>
    <x v="4"/>
    <s v="P6000074"/>
    <s v="LIGHTING EAR CLEANER - PINK"/>
    <x v="2"/>
    <n v="134000"/>
    <n v="7.3333333333333997"/>
    <n v="7"/>
    <n v="7.6666666666666661"/>
    <n v="124"/>
    <n v="0"/>
    <n v="0"/>
    <n v="28"/>
    <n v="0"/>
    <n v="0"/>
    <n v="48"/>
    <n v="60"/>
    <n v="152"/>
    <n v="594.78260869565224"/>
    <n v="0"/>
    <n v="0"/>
    <n v="0"/>
    <n v="0"/>
    <n v="567.39130434782612"/>
    <n v="0"/>
    <n v="982666.66666667559"/>
    <n v="938000"/>
    <n v="1027333.3333333333"/>
    <n v="0"/>
    <n v="20368000"/>
    <n v="119260"/>
    <n v="0"/>
    <n v="874573.33333334129"/>
    <n v="834820"/>
    <n v="914326.66666666663"/>
    <n v="0"/>
    <n v="18127520"/>
    <x v="0"/>
    <n v="0"/>
    <n v="0"/>
    <n v="0"/>
    <n v="0"/>
  </r>
  <r>
    <n v="622"/>
    <x v="4"/>
    <s v="P6000075"/>
    <s v="THIN &amp; SHORT BLADE SCISSORS"/>
    <x v="2"/>
    <n v="93000"/>
    <n v="8.0000000000000302"/>
    <n v="5"/>
    <n v="3.6666666666666665"/>
    <n v="33"/>
    <n v="12"/>
    <n v="0"/>
    <n v="12"/>
    <n v="0"/>
    <n v="0"/>
    <n v="24"/>
    <n v="60"/>
    <n v="57"/>
    <n v="466.36363636363637"/>
    <n v="0"/>
    <n v="0"/>
    <n v="0"/>
    <n v="0"/>
    <n v="425.45454545454544"/>
    <n v="0"/>
    <n v="744000.00000000279"/>
    <n v="465000"/>
    <n v="341000"/>
    <n v="0"/>
    <n v="5301000"/>
    <n v="82770"/>
    <n v="0"/>
    <n v="662160.00000000244"/>
    <n v="413850"/>
    <n v="303490"/>
    <n v="0"/>
    <n v="4717890"/>
    <x v="0"/>
    <n v="0"/>
    <n v="0"/>
    <n v="0"/>
    <n v="0"/>
  </r>
  <r>
    <n v="623"/>
    <x v="4"/>
    <s v="P6000077"/>
    <s v="BABY BOWL - PINK"/>
    <x v="2"/>
    <n v="217000"/>
    <n v="0"/>
    <n v="0"/>
    <n v="0"/>
    <n v="123"/>
    <n v="0"/>
    <n v="0"/>
    <n v="0"/>
    <n v="0"/>
    <n v="0"/>
    <n v="10"/>
    <n v="60"/>
    <n v="123"/>
    <n v="9999"/>
    <n v="0"/>
    <n v="0"/>
    <n v="0"/>
    <n v="0"/>
    <n v="9999"/>
    <n v="0"/>
    <n v="0"/>
    <n v="0"/>
    <n v="0"/>
    <n v="0"/>
    <n v="26691000"/>
    <n v="193130"/>
    <n v="0"/>
    <n v="0"/>
    <n v="0"/>
    <n v="0"/>
    <n v="0"/>
    <n v="23754990"/>
    <x v="0"/>
    <n v="0"/>
    <n v="0"/>
    <n v="0"/>
    <n v="0"/>
  </r>
  <r>
    <n v="624"/>
    <x v="4"/>
    <s v="P6000078"/>
    <s v="SILICONE SPOON - PINK"/>
    <x v="2"/>
    <n v="83000"/>
    <n v="4.0000000000000107"/>
    <n v="2"/>
    <n v="2.333333333333333"/>
    <n v="151"/>
    <n v="0"/>
    <n v="0"/>
    <n v="0"/>
    <n v="0"/>
    <n v="0"/>
    <n v="48"/>
    <n v="60"/>
    <n v="151"/>
    <n v="1941.4285714285716"/>
    <n v="0"/>
    <n v="0"/>
    <n v="0"/>
    <n v="0"/>
    <n v="1915.714285714286"/>
    <n v="0"/>
    <n v="332000.00000000087"/>
    <n v="166000"/>
    <n v="193666.66666666663"/>
    <n v="0"/>
    <n v="12533000"/>
    <n v="73870"/>
    <n v="0"/>
    <n v="295480.00000000081"/>
    <n v="147740"/>
    <n v="172363.33333333331"/>
    <n v="0"/>
    <n v="11154370"/>
    <x v="0"/>
    <n v="0"/>
    <n v="0"/>
    <n v="0"/>
    <n v="0"/>
  </r>
  <r>
    <n v="625"/>
    <x v="4"/>
    <s v="P6000079"/>
    <s v="RAINBOW SPOON SET-ELDER (4+) BF 237B"/>
    <x v="2"/>
    <n v="98000"/>
    <n v="3"/>
    <n v="4"/>
    <n v="3.333333333333333"/>
    <n v="109"/>
    <n v="0"/>
    <n v="0"/>
    <n v="0"/>
    <n v="0"/>
    <n v="0"/>
    <n v="24"/>
    <n v="60"/>
    <n v="109"/>
    <n v="981.00000000000011"/>
    <n v="0"/>
    <n v="0"/>
    <n v="0"/>
    <n v="0"/>
    <n v="945.00000000000011"/>
    <n v="0"/>
    <n v="294000"/>
    <n v="392000"/>
    <n v="326666.66666666663"/>
    <n v="0"/>
    <n v="10682000"/>
    <n v="87220"/>
    <n v="0"/>
    <n v="261660"/>
    <n v="348880"/>
    <n v="290733.33333333331"/>
    <n v="0"/>
    <n v="9506980"/>
    <x v="0"/>
    <n v="0"/>
    <n v="0"/>
    <n v="0"/>
    <n v="0"/>
  </r>
  <r>
    <n v="626"/>
    <x v="4"/>
    <s v="P6000080"/>
    <s v="STRAW DRINKING CUP 450ML - PINK"/>
    <x v="2"/>
    <n v="170000"/>
    <n v="4.6666666666667398"/>
    <n v="3"/>
    <n v="3.6666666666666665"/>
    <n v="72"/>
    <n v="0"/>
    <n v="0"/>
    <n v="0"/>
    <n v="0"/>
    <n v="0"/>
    <n v="6"/>
    <n v="60"/>
    <n v="72"/>
    <n v="589.09090909090912"/>
    <n v="0"/>
    <n v="0"/>
    <n v="0"/>
    <n v="0"/>
    <n v="564.54545454545462"/>
    <n v="0"/>
    <n v="793333.33333334571"/>
    <n v="510000"/>
    <n v="623333.33333333326"/>
    <n v="0"/>
    <n v="12240000"/>
    <n v="151300"/>
    <n v="0"/>
    <n v="706066.66666667769"/>
    <n v="453900"/>
    <n v="554766.66666666663"/>
    <n v="0"/>
    <n v="10893600"/>
    <x v="0"/>
    <n v="0"/>
    <n v="0"/>
    <n v="0"/>
    <n v="0"/>
  </r>
  <r>
    <n v="627"/>
    <x v="4"/>
    <s v="P6000081"/>
    <s v="PE-PA PLATE - PINK"/>
    <x v="2"/>
    <n v="263000"/>
    <n v="2"/>
    <n v="0"/>
    <n v="0"/>
    <n v="71"/>
    <n v="0"/>
    <n v="0"/>
    <n v="0"/>
    <n v="0"/>
    <n v="0"/>
    <n v="3"/>
    <n v="60"/>
    <n v="71"/>
    <n v="9999"/>
    <n v="0"/>
    <n v="0"/>
    <n v="0"/>
    <n v="0"/>
    <n v="9999"/>
    <n v="0"/>
    <n v="526000"/>
    <n v="0"/>
    <n v="0"/>
    <n v="0"/>
    <n v="18673000"/>
    <n v="234070"/>
    <n v="0"/>
    <n v="468140"/>
    <n v="0"/>
    <n v="0"/>
    <n v="0"/>
    <n v="16618970"/>
    <x v="0"/>
    <n v="0"/>
    <n v="0"/>
    <n v="0"/>
    <n v="0"/>
  </r>
  <r>
    <n v="628"/>
    <x v="4"/>
    <s v="P6000082"/>
    <s v="RAINBOW SPOON SET-ELDER  BF 237A"/>
    <x v="2"/>
    <n v="98000"/>
    <n v="2.3333333333333299"/>
    <n v="3"/>
    <n v="3.333333333333333"/>
    <n v="78"/>
    <n v="0"/>
    <n v="0"/>
    <n v="0"/>
    <n v="0"/>
    <n v="0"/>
    <n v="12"/>
    <n v="60"/>
    <n v="78"/>
    <n v="702.00000000000011"/>
    <n v="0"/>
    <n v="0"/>
    <n v="0"/>
    <n v="0"/>
    <n v="675.00000000000011"/>
    <n v="0"/>
    <n v="228666.66666666634"/>
    <n v="294000"/>
    <n v="326666.66666666663"/>
    <n v="0"/>
    <n v="7644000"/>
    <n v="87220"/>
    <n v="0"/>
    <n v="203513.33333333302"/>
    <n v="261660"/>
    <n v="290733.33333333331"/>
    <n v="0"/>
    <n v="6803160"/>
    <x v="0"/>
    <n v="0"/>
    <n v="0"/>
    <n v="0"/>
    <n v="0"/>
  </r>
  <r>
    <n v="629"/>
    <x v="4"/>
    <s v="P6000083"/>
    <s v="BON BON BOWL - HIJAU"/>
    <x v="2"/>
    <n v="263000"/>
    <n v="0.33333333333333998"/>
    <n v="0"/>
    <n v="0.33333333333333331"/>
    <n v="97"/>
    <n v="0"/>
    <n v="0"/>
    <n v="0"/>
    <n v="0"/>
    <n v="0"/>
    <n v="6"/>
    <n v="60"/>
    <n v="97"/>
    <n v="8730"/>
    <n v="0"/>
    <n v="0"/>
    <n v="0"/>
    <n v="0"/>
    <n v="8730"/>
    <n v="0"/>
    <n v="87666.666666668418"/>
    <n v="0"/>
    <n v="87666.666666666657"/>
    <n v="0"/>
    <n v="25511000"/>
    <n v="234070"/>
    <n v="0"/>
    <n v="78023.333333334886"/>
    <n v="0"/>
    <n v="78023.333333333328"/>
    <n v="0"/>
    <n v="22704790"/>
    <x v="0"/>
    <n v="0"/>
    <n v="0"/>
    <n v="0"/>
    <n v="0"/>
  </r>
  <r>
    <n v="630"/>
    <x v="4"/>
    <s v="P6000084"/>
    <s v="SILICONE SPOON - HIJAU"/>
    <x v="2"/>
    <n v="83000"/>
    <n v="2.6666666666666701"/>
    <n v="2"/>
    <n v="0.66666666666666663"/>
    <n v="70"/>
    <n v="0"/>
    <n v="0"/>
    <n v="35"/>
    <n v="0"/>
    <n v="0"/>
    <n v="48"/>
    <n v="60"/>
    <n v="105"/>
    <n v="4725"/>
    <n v="0"/>
    <n v="0"/>
    <n v="0"/>
    <n v="0"/>
    <n v="4635"/>
    <n v="0"/>
    <n v="221333.3333333336"/>
    <n v="166000"/>
    <n v="55333.333333333328"/>
    <n v="0"/>
    <n v="8715000"/>
    <n v="73870"/>
    <n v="0"/>
    <n v="196986.66666666692"/>
    <n v="147740"/>
    <n v="49246.666666666664"/>
    <n v="0"/>
    <n v="7756350"/>
    <x v="0"/>
    <n v="0"/>
    <n v="0"/>
    <n v="0"/>
    <n v="0"/>
  </r>
  <r>
    <n v="631"/>
    <x v="4"/>
    <s v="P6000085"/>
    <s v="BON BON BOWL - PINK"/>
    <x v="2"/>
    <n v="263000"/>
    <n v="1.3333333333333"/>
    <n v="3"/>
    <n v="1.6666666666666667"/>
    <n v="69"/>
    <n v="0"/>
    <n v="0"/>
    <n v="0"/>
    <n v="0"/>
    <n v="6"/>
    <n v="6"/>
    <n v="60"/>
    <n v="69"/>
    <n v="1242"/>
    <n v="0"/>
    <n v="6"/>
    <n v="0"/>
    <n v="0"/>
    <n v="1188"/>
    <n v="0"/>
    <n v="350666.6666666579"/>
    <n v="789000"/>
    <n v="438333.33333333337"/>
    <n v="0"/>
    <n v="18147000"/>
    <n v="234070"/>
    <n v="0"/>
    <n v="312093.33333332551"/>
    <n v="702210"/>
    <n v="390116.66666666669"/>
    <n v="0"/>
    <n v="16150830"/>
    <x v="0"/>
    <n v="-6"/>
    <n v="0"/>
    <n v="0"/>
    <n v="0"/>
  </r>
  <r>
    <n v="632"/>
    <x v="4"/>
    <s v="P6000086"/>
    <s v="STRAW DRINKING CUP 450ML - BIRU"/>
    <x v="2"/>
    <n v="170000"/>
    <n v="3.0000000000000298"/>
    <n v="3"/>
    <n v="3.666666666666667"/>
    <n v="100"/>
    <n v="0"/>
    <n v="0"/>
    <n v="0"/>
    <n v="0"/>
    <n v="6"/>
    <n v="6"/>
    <n v="60"/>
    <n v="100"/>
    <n v="818.18181818181813"/>
    <n v="0"/>
    <n v="6"/>
    <n v="0"/>
    <n v="0"/>
    <n v="793.63636363636363"/>
    <n v="0"/>
    <n v="510000.00000000506"/>
    <n v="510000"/>
    <n v="623333.33333333337"/>
    <n v="0"/>
    <n v="17000000"/>
    <n v="151300"/>
    <n v="0"/>
    <n v="453900.00000000448"/>
    <n v="453900"/>
    <n v="554766.66666666674"/>
    <n v="0"/>
    <n v="15130000"/>
    <x v="0"/>
    <n v="-6"/>
    <n v="0"/>
    <n v="0"/>
    <n v="0"/>
  </r>
  <r>
    <n v="633"/>
    <x v="4"/>
    <s v="P6000087"/>
    <s v="BABY FOOD SCISSORS - PINK"/>
    <x v="2"/>
    <n v="119000"/>
    <n v="1.3333333333333"/>
    <n v="0"/>
    <n v="1.3333333333333333"/>
    <n v="13"/>
    <n v="0"/>
    <n v="0"/>
    <n v="0"/>
    <n v="0"/>
    <n v="0"/>
    <n v="12"/>
    <n v="60"/>
    <n v="13"/>
    <n v="292.5"/>
    <n v="0"/>
    <n v="0"/>
    <n v="0"/>
    <n v="0"/>
    <n v="292.5"/>
    <n v="0"/>
    <n v="158666.6666666627"/>
    <n v="0"/>
    <n v="158666.66666666666"/>
    <n v="0"/>
    <n v="1547000"/>
    <n v="105910"/>
    <n v="0"/>
    <n v="141213.33333332979"/>
    <n v="0"/>
    <n v="141213.33333333331"/>
    <n v="0"/>
    <n v="1376830"/>
    <x v="0"/>
    <n v="0"/>
    <n v="0"/>
    <n v="0"/>
    <n v="0"/>
  </r>
  <r>
    <n v="634"/>
    <x v="4"/>
    <s v="P6000088"/>
    <s v="FOOD GRINDER"/>
    <x v="3"/>
    <n v="155000"/>
    <n v="48.6666666666667"/>
    <n v="52.6"/>
    <n v="52.199999999999996"/>
    <n v="138"/>
    <n v="12"/>
    <n v="0"/>
    <n v="12"/>
    <n v="0"/>
    <n v="48"/>
    <n v="12"/>
    <n v="60"/>
    <n v="162"/>
    <n v="93.103448275862078"/>
    <n v="0"/>
    <n v="36"/>
    <n v="0"/>
    <n v="0"/>
    <n v="62.873563218390814"/>
    <n v="0"/>
    <n v="7543333.3333333386"/>
    <n v="8153000"/>
    <n v="8090999.9999999991"/>
    <n v="0"/>
    <n v="25110000"/>
    <n v="137950"/>
    <n v="0"/>
    <n v="6713566.6666666716"/>
    <n v="7256170"/>
    <n v="7200989.9999999991"/>
    <n v="0"/>
    <n v="22347900"/>
    <x v="0"/>
    <n v="-36"/>
    <n v="36"/>
    <n v="36"/>
    <n v="60"/>
  </r>
  <r>
    <n v="635"/>
    <x v="4"/>
    <s v="P6000089"/>
    <s v="BABY BOWL - BIRU"/>
    <x v="2"/>
    <n v="217000"/>
    <n v="0"/>
    <n v="0"/>
    <n v="0"/>
    <n v="39"/>
    <n v="0"/>
    <n v="0"/>
    <n v="0"/>
    <n v="0"/>
    <n v="0"/>
    <n v="10"/>
    <n v="60"/>
    <n v="39"/>
    <n v="9999"/>
    <n v="0"/>
    <n v="0"/>
    <n v="0"/>
    <n v="0"/>
    <n v="9999"/>
    <n v="0"/>
    <n v="0"/>
    <n v="0"/>
    <n v="0"/>
    <n v="0"/>
    <n v="8463000"/>
    <n v="193130"/>
    <n v="0"/>
    <n v="0"/>
    <n v="0"/>
    <n v="0"/>
    <n v="0"/>
    <n v="7532070"/>
    <x v="0"/>
    <n v="0"/>
    <n v="0"/>
    <n v="0"/>
    <n v="0"/>
  </r>
  <r>
    <n v="636"/>
    <x v="4"/>
    <s v="P6000090"/>
    <s v="PE-PA PLATE - HIJAU"/>
    <x v="2"/>
    <n v="263000"/>
    <n v="1.3333333333333601"/>
    <n v="3"/>
    <n v="2.3333333333333335"/>
    <n v="65"/>
    <n v="0"/>
    <n v="0"/>
    <n v="0"/>
    <n v="0"/>
    <n v="0"/>
    <n v="3"/>
    <n v="60"/>
    <n v="65"/>
    <n v="835.71428571428567"/>
    <n v="0"/>
    <n v="0"/>
    <n v="0"/>
    <n v="0"/>
    <n v="797.14285714285711"/>
    <n v="0"/>
    <n v="350666.66666667373"/>
    <n v="789000"/>
    <n v="613666.66666666674"/>
    <n v="0"/>
    <n v="17095000"/>
    <n v="234070"/>
    <n v="0"/>
    <n v="312093.3333333396"/>
    <n v="702210"/>
    <n v="546163.33333333337"/>
    <n v="0"/>
    <n v="15214550"/>
    <x v="0"/>
    <n v="0"/>
    <n v="0"/>
    <n v="0"/>
    <n v="0"/>
  </r>
  <r>
    <n v="637"/>
    <x v="4"/>
    <s v="P6000091"/>
    <s v="BON BON BOWL - BIRU"/>
    <x v="2"/>
    <n v="263000"/>
    <n v="1"/>
    <n v="3"/>
    <n v="1.6666666666666667"/>
    <n v="51"/>
    <n v="0"/>
    <n v="0"/>
    <n v="0"/>
    <n v="0"/>
    <n v="6"/>
    <n v="6"/>
    <n v="60"/>
    <n v="51"/>
    <n v="917.99999999999989"/>
    <n v="0"/>
    <n v="6"/>
    <n v="0"/>
    <n v="0"/>
    <n v="863.99999999999989"/>
    <n v="0"/>
    <n v="263000"/>
    <n v="789000"/>
    <n v="438333.33333333337"/>
    <n v="0"/>
    <n v="13413000"/>
    <n v="234070"/>
    <n v="0"/>
    <n v="234070"/>
    <n v="702210"/>
    <n v="390116.66666666669"/>
    <n v="0"/>
    <n v="11937570"/>
    <x v="0"/>
    <n v="-6"/>
    <n v="0"/>
    <n v="0"/>
    <n v="0"/>
  </r>
  <r>
    <n v="638"/>
    <x v="4"/>
    <s v="P6000092"/>
    <s v="BABY BOWL - HIJAU"/>
    <x v="2"/>
    <n v="217000"/>
    <n v="0.66666666666666996"/>
    <n v="0"/>
    <n v="0.66666666666666663"/>
    <n v="128"/>
    <n v="0"/>
    <n v="0"/>
    <n v="0"/>
    <n v="0"/>
    <n v="0"/>
    <n v="10"/>
    <n v="60"/>
    <n v="128"/>
    <n v="5760"/>
    <n v="0"/>
    <n v="0"/>
    <n v="0"/>
    <n v="0"/>
    <n v="5760"/>
    <n v="0"/>
    <n v="144666.66666666738"/>
    <n v="0"/>
    <n v="144666.66666666666"/>
    <n v="0"/>
    <n v="27776000"/>
    <n v="193130"/>
    <n v="0"/>
    <n v="128753.33333333397"/>
    <n v="0"/>
    <n v="128753.33333333333"/>
    <n v="0"/>
    <n v="24720640"/>
    <x v="0"/>
    <n v="0"/>
    <n v="0"/>
    <n v="0"/>
    <n v="0"/>
  </r>
  <r>
    <n v="639"/>
    <x v="4"/>
    <s v="P6000093"/>
    <s v="PE-PA PLATE - BIRU"/>
    <x v="2"/>
    <n v="263000"/>
    <n v="2.3333333333333699"/>
    <n v="3"/>
    <n v="2.6666666666666665"/>
    <n v="102"/>
    <n v="0"/>
    <n v="0"/>
    <n v="0"/>
    <n v="0"/>
    <n v="0"/>
    <n v="3"/>
    <n v="60"/>
    <n v="102"/>
    <n v="1147.5"/>
    <n v="0"/>
    <n v="0"/>
    <n v="0"/>
    <n v="0"/>
    <n v="1113.75"/>
    <n v="0"/>
    <n v="613666.66666667629"/>
    <n v="789000"/>
    <n v="701333.33333333326"/>
    <n v="0"/>
    <n v="26826000"/>
    <n v="234070"/>
    <n v="0"/>
    <n v="546163.33333334187"/>
    <n v="702210"/>
    <n v="624186.66666666663"/>
    <n v="0"/>
    <n v="23875140"/>
    <x v="0"/>
    <n v="0"/>
    <n v="0"/>
    <n v="0"/>
    <n v="0"/>
  </r>
  <r>
    <n v="640"/>
    <x v="4"/>
    <s v="P6000094"/>
    <s v="PULPY FOOD SPOON"/>
    <x v="2"/>
    <n v="98000"/>
    <n v="3"/>
    <n v="4"/>
    <n v="2"/>
    <n v="36"/>
    <n v="0"/>
    <n v="0"/>
    <n v="0"/>
    <n v="0"/>
    <n v="0"/>
    <n v="36"/>
    <n v="60"/>
    <n v="36"/>
    <n v="540"/>
    <n v="0"/>
    <n v="0"/>
    <n v="0"/>
    <n v="0"/>
    <n v="480"/>
    <n v="0"/>
    <n v="294000"/>
    <n v="392000"/>
    <n v="196000"/>
    <n v="0"/>
    <n v="3528000"/>
    <n v="87220"/>
    <n v="0"/>
    <n v="261660"/>
    <n v="348880"/>
    <n v="174440"/>
    <n v="0"/>
    <n v="3139920"/>
    <x v="0"/>
    <n v="0"/>
    <n v="0"/>
    <n v="0"/>
    <n v="0"/>
  </r>
  <r>
    <n v="641"/>
    <x v="4"/>
    <s v="P6000110"/>
    <s v="LADERMA CREAM"/>
    <x v="3"/>
    <n v="91000"/>
    <n v="361.3333333333336"/>
    <n v="404"/>
    <n v="377.33333333333337"/>
    <n v="804"/>
    <n v="42"/>
    <n v="0"/>
    <n v="72"/>
    <n v="0"/>
    <n v="330"/>
    <n v="30"/>
    <n v="60"/>
    <n v="918"/>
    <n v="72.985865724381625"/>
    <n v="240.66666666666674"/>
    <n v="258"/>
    <n v="240.66666666666674"/>
    <n v="240"/>
    <n v="59.946996466431088"/>
    <n v="21840000"/>
    <n v="32881333.333333358"/>
    <n v="36764000"/>
    <n v="34337333.333333336"/>
    <n v="0"/>
    <n v="83538000"/>
    <n v="79625"/>
    <n v="19110000"/>
    <n v="28771166.666666687"/>
    <n v="32168500"/>
    <n v="30045166.666666668"/>
    <n v="0"/>
    <n v="73095750"/>
    <x v="0"/>
    <n v="-18"/>
    <n v="168"/>
    <n v="198"/>
    <n v="258"/>
  </r>
  <r>
    <n v="642"/>
    <x v="4"/>
    <s v="P6000111"/>
    <s v="F G N B LPOPS ORAL ST-PINK"/>
    <x v="2"/>
    <n v="170000"/>
    <n v="12.000000000000069"/>
    <n v="9"/>
    <n v="11.333333333333332"/>
    <n v="113"/>
    <n v="0"/>
    <n v="21"/>
    <n v="2"/>
    <n v="0"/>
    <n v="0"/>
    <n v="12"/>
    <n v="60"/>
    <n v="115"/>
    <n v="304.41176470588238"/>
    <n v="0"/>
    <n v="19"/>
    <n v="0"/>
    <n v="0"/>
    <n v="280.58823529411768"/>
    <n v="0"/>
    <n v="2040000.0000000119"/>
    <n v="1530000"/>
    <n v="1926666.6666666665"/>
    <n v="0"/>
    <n v="19550000"/>
    <n v="151300"/>
    <n v="0"/>
    <n v="1815600.0000000105"/>
    <n v="1361700"/>
    <n v="1714733.3333333333"/>
    <n v="0"/>
    <n v="17399500"/>
    <x v="0"/>
    <n v="-19"/>
    <n v="0"/>
    <n v="0"/>
    <n v="0"/>
  </r>
  <r>
    <n v="643"/>
    <x v="4"/>
    <s v="P6000112"/>
    <s v="F G N B LPOPS ORAL ST-HIJAU"/>
    <x v="2"/>
    <n v="170000"/>
    <n v="5"/>
    <n v="6"/>
    <n v="3.3333333333333335"/>
    <n v="48"/>
    <n v="0"/>
    <n v="0"/>
    <n v="0"/>
    <n v="0"/>
    <n v="0"/>
    <n v="12"/>
    <n v="60"/>
    <n v="48"/>
    <n v="431.99999999999994"/>
    <n v="0"/>
    <n v="0"/>
    <n v="0"/>
    <n v="0"/>
    <n v="378"/>
    <n v="0"/>
    <n v="850000"/>
    <n v="1020000"/>
    <n v="566666.66666666674"/>
    <n v="0"/>
    <n v="8160000"/>
    <n v="151300"/>
    <n v="0"/>
    <n v="756500"/>
    <n v="907800"/>
    <n v="504333.33333333337"/>
    <n v="0"/>
    <n v="7262400"/>
    <x v="0"/>
    <n v="0"/>
    <n v="0"/>
    <n v="0"/>
    <n v="0"/>
  </r>
  <r>
    <n v="644"/>
    <x v="4"/>
    <s v="P6000113"/>
    <s v="F G N B LPOPS ORAL ST FRT POP-PINK"/>
    <x v="2"/>
    <n v="129000"/>
    <n v="7.6666666666666998"/>
    <n v="6"/>
    <n v="8.3333333333333339"/>
    <n v="23"/>
    <n v="0"/>
    <n v="2"/>
    <n v="0"/>
    <n v="1"/>
    <n v="12"/>
    <n v="12"/>
    <n v="60"/>
    <n v="23"/>
    <n v="82.8"/>
    <n v="0"/>
    <n v="13"/>
    <n v="0"/>
    <n v="0"/>
    <n v="64.8"/>
    <n v="0"/>
    <n v="989000.00000000431"/>
    <n v="774000"/>
    <n v="1075000"/>
    <n v="129000"/>
    <n v="2967000"/>
    <n v="114810"/>
    <n v="0"/>
    <n v="880210.00000000384"/>
    <n v="688860"/>
    <n v="956750.00000000012"/>
    <n v="114810"/>
    <n v="2640630"/>
    <x v="0"/>
    <n v="-13"/>
    <n v="0"/>
    <n v="0"/>
    <n v="0"/>
  </r>
  <r>
    <n v="645"/>
    <x v="4"/>
    <s v="P6000114"/>
    <s v="F G N B LPOPS ORAL ST FRT POP-HIJAU"/>
    <x v="2"/>
    <n v="129000"/>
    <n v="4.6666666666666998"/>
    <n v="5"/>
    <n v="6.3333333333333339"/>
    <n v="42"/>
    <n v="0"/>
    <n v="15"/>
    <n v="0"/>
    <n v="0"/>
    <n v="0"/>
    <n v="12"/>
    <n v="60"/>
    <n v="42"/>
    <n v="198.9473684210526"/>
    <n v="0"/>
    <n v="15"/>
    <n v="0"/>
    <n v="0"/>
    <n v="175.26315789473682"/>
    <n v="0"/>
    <n v="602000.00000000431"/>
    <n v="645000"/>
    <n v="817000.00000000012"/>
    <n v="0"/>
    <n v="5418000"/>
    <n v="114810"/>
    <n v="0"/>
    <n v="535780.00000000384"/>
    <n v="574050"/>
    <n v="727130.00000000012"/>
    <n v="0"/>
    <n v="4822020"/>
    <x v="0"/>
    <n v="-15"/>
    <n v="0"/>
    <n v="0"/>
    <n v="0"/>
  </r>
  <r>
    <n v="646"/>
    <x v="4"/>
    <s v="P6000115"/>
    <s v="F G N B LPOPS ORAL ST KLN POP-PINK"/>
    <x v="2"/>
    <n v="129000"/>
    <n v="2.3333333333333699"/>
    <n v="2"/>
    <n v="3"/>
    <n v="75"/>
    <n v="0"/>
    <n v="0"/>
    <n v="3"/>
    <n v="0"/>
    <n v="0"/>
    <n v="12"/>
    <n v="60"/>
    <n v="78"/>
    <n v="780"/>
    <n v="0"/>
    <n v="0"/>
    <n v="0"/>
    <n v="0"/>
    <n v="760"/>
    <n v="0"/>
    <n v="301000.00000000471"/>
    <n v="258000"/>
    <n v="387000"/>
    <n v="0"/>
    <n v="10062000"/>
    <n v="114810"/>
    <n v="0"/>
    <n v="267890.00000000419"/>
    <n v="229620"/>
    <n v="344430"/>
    <n v="0"/>
    <n v="8955180"/>
    <x v="0"/>
    <n v="0"/>
    <n v="0"/>
    <n v="0"/>
    <n v="0"/>
  </r>
  <r>
    <n v="647"/>
    <x v="4"/>
    <s v="P6000116"/>
    <s v="F G N B LPOPS ORAL ST KLN POP-HIJAU"/>
    <x v="2"/>
    <n v="129000"/>
    <n v="2.6666666666666297"/>
    <n v="5"/>
    <n v="4.3333333333333339"/>
    <n v="49"/>
    <n v="3"/>
    <n v="9"/>
    <n v="0"/>
    <n v="0"/>
    <n v="0"/>
    <n v="12"/>
    <n v="60"/>
    <n v="52"/>
    <n v="359.99999999999994"/>
    <n v="0"/>
    <n v="9"/>
    <n v="0"/>
    <n v="0"/>
    <n v="325.38461538461536"/>
    <n v="0"/>
    <n v="343999.99999999523"/>
    <n v="645000"/>
    <n v="559000.00000000012"/>
    <n v="0"/>
    <n v="6708000"/>
    <n v="114810"/>
    <n v="0"/>
    <n v="306159.99999999575"/>
    <n v="574050"/>
    <n v="497510.00000000006"/>
    <n v="0"/>
    <n v="5970120"/>
    <x v="0"/>
    <n v="-9"/>
    <n v="0"/>
    <n v="0"/>
    <n v="0"/>
  </r>
  <r>
    <n v="648"/>
    <x v="4"/>
    <s v="P6000117"/>
    <s v="F BABY FINGERS - TYPE TOOTHBRUSH"/>
    <x v="2"/>
    <n v="59000"/>
    <n v="36.333333333333329"/>
    <n v="40"/>
    <n v="40"/>
    <n v="101"/>
    <n v="48"/>
    <n v="0"/>
    <n v="6"/>
    <n v="0"/>
    <n v="36"/>
    <n v="24"/>
    <n v="60"/>
    <n v="155"/>
    <n v="116.25"/>
    <n v="0"/>
    <n v="30"/>
    <n v="0"/>
    <n v="0"/>
    <n v="86.25"/>
    <n v="0"/>
    <n v="2143666.6666666665"/>
    <n v="2360000"/>
    <n v="2360000"/>
    <n v="0"/>
    <n v="9145000"/>
    <n v="52510"/>
    <n v="0"/>
    <n v="1907863.333333333"/>
    <n v="2100400"/>
    <n v="2100400"/>
    <n v="0"/>
    <n v="8139050"/>
    <x v="0"/>
    <n v="-30"/>
    <n v="0"/>
    <n v="0"/>
    <n v="0"/>
  </r>
  <r>
    <n v="649"/>
    <x v="4"/>
    <s v="P6000118"/>
    <s v="F DOCT J EDCT  SMILEY TEETHER-HIJAU"/>
    <x v="2"/>
    <n v="101000"/>
    <n v="8.6666666666666998"/>
    <n v="8"/>
    <n v="9"/>
    <n v="93"/>
    <n v="0"/>
    <n v="0"/>
    <n v="12"/>
    <n v="0"/>
    <n v="0"/>
    <n v="24"/>
    <n v="60"/>
    <n v="105"/>
    <n v="350"/>
    <n v="0"/>
    <n v="0"/>
    <n v="0"/>
    <n v="0"/>
    <n v="323.33333333333337"/>
    <n v="0"/>
    <n v="875333.33333333663"/>
    <n v="808000"/>
    <n v="909000"/>
    <n v="0"/>
    <n v="10605000"/>
    <n v="89890"/>
    <n v="0"/>
    <n v="779046.66666666965"/>
    <n v="719120"/>
    <n v="809010"/>
    <n v="0"/>
    <n v="9438450"/>
    <x v="0"/>
    <n v="0"/>
    <n v="0"/>
    <n v="0"/>
    <n v="0"/>
  </r>
  <r>
    <n v="650"/>
    <x v="4"/>
    <s v="P6000119"/>
    <s v="F STAGE BABY ORAL HYGIENE ST-PINK"/>
    <x v="2"/>
    <n v="150000"/>
    <n v="12.6666666666667"/>
    <n v="18"/>
    <n v="12.666666666666668"/>
    <n v="98"/>
    <n v="0"/>
    <n v="0"/>
    <n v="0"/>
    <n v="0"/>
    <n v="12"/>
    <n v="12"/>
    <n v="60"/>
    <n v="98"/>
    <n v="232.10526315789474"/>
    <n v="0"/>
    <n v="12"/>
    <n v="0"/>
    <n v="0"/>
    <n v="189.4736842105263"/>
    <n v="0"/>
    <n v="1900000.0000000049"/>
    <n v="2700000"/>
    <n v="1900000.0000000002"/>
    <n v="0"/>
    <n v="14700000"/>
    <n v="133500"/>
    <n v="0"/>
    <n v="1691000.0000000044"/>
    <n v="2403000"/>
    <n v="1691000.0000000002"/>
    <n v="0"/>
    <n v="13083000"/>
    <x v="0"/>
    <n v="-12"/>
    <n v="0"/>
    <n v="0"/>
    <n v="0"/>
  </r>
  <r>
    <n v="651"/>
    <x v="4"/>
    <s v="P6000120"/>
    <s v="F DOCT J EDCT SMILEY TEETHER-PINK"/>
    <x v="2"/>
    <n v="101000"/>
    <n v="7.3333333333333997"/>
    <n v="14"/>
    <n v="10"/>
    <n v="54"/>
    <n v="0"/>
    <n v="0"/>
    <n v="0"/>
    <n v="0"/>
    <n v="0"/>
    <n v="24"/>
    <n v="60"/>
    <n v="54"/>
    <n v="162"/>
    <n v="0"/>
    <n v="0"/>
    <n v="0"/>
    <n v="0"/>
    <n v="120"/>
    <n v="0"/>
    <n v="740666.66666667338"/>
    <n v="1414000"/>
    <n v="1010000"/>
    <n v="0"/>
    <n v="5454000"/>
    <n v="89890"/>
    <n v="0"/>
    <n v="659193.33333333931"/>
    <n v="1258460"/>
    <n v="898900"/>
    <n v="0"/>
    <n v="4854060"/>
    <x v="0"/>
    <n v="0"/>
    <n v="0"/>
    <n v="0"/>
    <n v="0"/>
  </r>
  <r>
    <n v="652"/>
    <x v="4"/>
    <s v="P6000121"/>
    <s v="F AQUARIUM  SLC TEETHER CRAB-BIRU"/>
    <x v="2"/>
    <n v="145000"/>
    <n v="6.3333333333333002"/>
    <n v="9"/>
    <n v="6"/>
    <n v="69"/>
    <n v="0"/>
    <n v="0"/>
    <n v="0"/>
    <n v="0"/>
    <n v="0"/>
    <n v="12"/>
    <n v="60"/>
    <n v="69"/>
    <n v="345"/>
    <n v="0"/>
    <n v="0"/>
    <n v="0"/>
    <n v="0"/>
    <n v="300"/>
    <n v="0"/>
    <n v="918333.33333332848"/>
    <n v="1305000"/>
    <n v="870000"/>
    <n v="0"/>
    <n v="10005000"/>
    <n v="129050"/>
    <n v="0"/>
    <n v="817316.66666666244"/>
    <n v="1161450"/>
    <n v="774300"/>
    <n v="0"/>
    <n v="8904450"/>
    <x v="0"/>
    <n v="0"/>
    <n v="0"/>
    <n v="0"/>
    <n v="0"/>
  </r>
  <r>
    <n v="653"/>
    <x v="4"/>
    <s v="P6000122"/>
    <s v="F AQUARIUM  SLC TEETHER CRAB-HIJAU"/>
    <x v="2"/>
    <n v="145000"/>
    <n v="3.6666666666666701"/>
    <n v="7"/>
    <n v="3.333333333333333"/>
    <n v="69"/>
    <n v="0"/>
    <n v="0"/>
    <n v="0"/>
    <n v="0"/>
    <n v="0"/>
    <n v="12"/>
    <n v="60"/>
    <n v="69"/>
    <n v="621.00000000000011"/>
    <n v="0"/>
    <n v="0"/>
    <n v="0"/>
    <n v="0"/>
    <n v="558"/>
    <n v="0"/>
    <n v="531666.66666666721"/>
    <n v="1015000"/>
    <n v="483333.33333333331"/>
    <n v="0"/>
    <n v="10005000"/>
    <n v="129050"/>
    <n v="0"/>
    <n v="473183.33333333378"/>
    <n v="903350"/>
    <n v="430166.66666666663"/>
    <n v="0"/>
    <n v="8904450"/>
    <x v="0"/>
    <n v="0"/>
    <n v="0"/>
    <n v="0"/>
    <n v="0"/>
  </r>
  <r>
    <n v="654"/>
    <x v="4"/>
    <s v="P6000123"/>
    <s v="F CHERRY PACIFIER-CARAMEL BA10020M"/>
    <x v="2"/>
    <n v="103000"/>
    <n v="-0.33333333333332998"/>
    <n v="3"/>
    <n v="1"/>
    <n v="83"/>
    <n v="0"/>
    <n v="0"/>
    <n v="0"/>
    <n v="0"/>
    <n v="0"/>
    <n v="12"/>
    <n v="60"/>
    <n v="83"/>
    <n v="2490"/>
    <n v="0"/>
    <n v="0"/>
    <n v="0"/>
    <n v="0"/>
    <n v="2400"/>
    <n v="0"/>
    <n v="-34333.333333332987"/>
    <n v="309000"/>
    <n v="103000"/>
    <n v="0"/>
    <n v="8549000"/>
    <n v="91670"/>
    <n v="0"/>
    <n v="-30556.666666666359"/>
    <n v="275010"/>
    <n v="91670"/>
    <n v="0"/>
    <n v="7608610"/>
    <x v="0"/>
    <n v="0"/>
    <n v="0"/>
    <n v="0"/>
    <n v="0"/>
  </r>
  <r>
    <n v="655"/>
    <x v="4"/>
    <s v="P6000124"/>
    <s v="F AQUARIUM  SLC TEETHER CRAB-ORANYE"/>
    <x v="2"/>
    <n v="145000"/>
    <n v="1.6666666666666698"/>
    <n v="5"/>
    <n v="3.3333333333333335"/>
    <n v="77"/>
    <n v="0"/>
    <n v="0"/>
    <n v="0"/>
    <n v="0"/>
    <n v="0"/>
    <n v="12"/>
    <n v="60"/>
    <n v="77"/>
    <n v="692.99999999999989"/>
    <n v="0"/>
    <n v="0"/>
    <n v="0"/>
    <n v="0"/>
    <n v="647.99999999999989"/>
    <n v="0"/>
    <n v="241666.66666666712"/>
    <n v="725000"/>
    <n v="483333.33333333337"/>
    <n v="0"/>
    <n v="11165000"/>
    <n v="129050"/>
    <n v="0"/>
    <n v="215083.33333333375"/>
    <n v="645250"/>
    <n v="430166.66666666669"/>
    <n v="0"/>
    <n v="9936850"/>
    <x v="0"/>
    <n v="0"/>
    <n v="0"/>
    <n v="0"/>
    <n v="0"/>
  </r>
  <r>
    <n v="656"/>
    <x v="4"/>
    <s v="P6000125"/>
    <s v="F STAGE BABY ORAL HYGIENE ST-BIRU"/>
    <x v="2"/>
    <n v="150000"/>
    <n v="16.3333333333334"/>
    <n v="23"/>
    <n v="20.000000000000004"/>
    <n v="79"/>
    <n v="0"/>
    <n v="0"/>
    <n v="0"/>
    <n v="0"/>
    <n v="12"/>
    <n v="12"/>
    <n v="60"/>
    <n v="79"/>
    <n v="118.49999999999997"/>
    <n v="0"/>
    <n v="12"/>
    <n v="0"/>
    <n v="0"/>
    <n v="83.999999999999986"/>
    <n v="0"/>
    <n v="2450000.0000000098"/>
    <n v="3450000"/>
    <n v="3000000.0000000005"/>
    <n v="0"/>
    <n v="11850000"/>
    <n v="133500"/>
    <n v="0"/>
    <n v="2180500.0000000088"/>
    <n v="3070500"/>
    <n v="2670000.0000000005"/>
    <n v="0"/>
    <n v="10546500"/>
    <x v="0"/>
    <n v="-12"/>
    <n v="0"/>
    <n v="0"/>
    <n v="0"/>
  </r>
  <r>
    <n v="657"/>
    <x v="4"/>
    <s v="P6000126"/>
    <s v="F AQUARIUM  SLC TEETHER CRAB-UNGU"/>
    <x v="2"/>
    <n v="145000"/>
    <n v="3.6666666666666998"/>
    <n v="5"/>
    <n v="2.333333333333333"/>
    <n v="99"/>
    <n v="0"/>
    <n v="0"/>
    <n v="0"/>
    <n v="0"/>
    <n v="0"/>
    <n v="12"/>
    <n v="60"/>
    <n v="99"/>
    <n v="1272.8571428571429"/>
    <n v="0"/>
    <n v="0"/>
    <n v="0"/>
    <n v="0"/>
    <n v="1208.5714285714287"/>
    <n v="0"/>
    <n v="531666.66666667152"/>
    <n v="725000"/>
    <n v="338333.33333333331"/>
    <n v="0"/>
    <n v="14355000"/>
    <n v="129050"/>
    <n v="0"/>
    <n v="473183.33333333762"/>
    <n v="645250"/>
    <n v="301116.66666666663"/>
    <n v="0"/>
    <n v="12775950"/>
    <x v="0"/>
    <n v="0"/>
    <n v="0"/>
    <n v="0"/>
    <n v="0"/>
  </r>
  <r>
    <n v="658"/>
    <x v="4"/>
    <s v="P6000127"/>
    <s v="F CHERRY PACIFIER - PINK BA10020G"/>
    <x v="2"/>
    <n v="103000"/>
    <n v="0"/>
    <n v="0"/>
    <n v="0"/>
    <n v="83"/>
    <n v="0"/>
    <n v="0"/>
    <n v="0"/>
    <n v="0"/>
    <n v="0"/>
    <n v="12"/>
    <n v="60"/>
    <n v="83"/>
    <n v="9999"/>
    <n v="0"/>
    <n v="0"/>
    <n v="0"/>
    <n v="0"/>
    <n v="9999"/>
    <n v="0"/>
    <n v="0"/>
    <n v="0"/>
    <n v="0"/>
    <n v="0"/>
    <n v="8549000"/>
    <n v="91670"/>
    <n v="0"/>
    <n v="0"/>
    <n v="0"/>
    <n v="0"/>
    <n v="0"/>
    <n v="7608610"/>
    <x v="0"/>
    <n v="0"/>
    <n v="0"/>
    <n v="0"/>
    <n v="0"/>
  </r>
  <r>
    <n v="659"/>
    <x v="4"/>
    <s v="P6000128"/>
    <s v="F CHERRY PACIFIER-BIRU BA10020B"/>
    <x v="2"/>
    <n v="103000"/>
    <n v="-2.3333333333333002"/>
    <n v="4"/>
    <n v="-0.66666666666666652"/>
    <n v="62"/>
    <n v="0"/>
    <n v="0"/>
    <n v="0"/>
    <n v="0"/>
    <n v="0"/>
    <n v="12"/>
    <n v="60"/>
    <n v="62"/>
    <n v="9999"/>
    <n v="0"/>
    <n v="0"/>
    <n v="0"/>
    <n v="0"/>
    <n v="9999"/>
    <n v="0"/>
    <n v="-240333.33333332991"/>
    <n v="412000"/>
    <n v="-68666.666666666657"/>
    <n v="0"/>
    <n v="6386000"/>
    <n v="91670"/>
    <n v="0"/>
    <n v="-213896.66666666363"/>
    <n v="366680"/>
    <n v="-61113.333333333321"/>
    <n v="0"/>
    <n v="5683540"/>
    <x v="0"/>
    <n v="0"/>
    <n v="0"/>
    <n v="0"/>
    <n v="0"/>
  </r>
  <r>
    <n v="660"/>
    <x v="4"/>
    <s v="P6000129"/>
    <s v="F STAGE 1 - TONGUE CLEANER"/>
    <x v="2"/>
    <n v="64000"/>
    <n v="44.333333333333371"/>
    <n v="56"/>
    <n v="45.999999999999993"/>
    <n v="194"/>
    <n v="0"/>
    <n v="12"/>
    <n v="0"/>
    <n v="0"/>
    <n v="24"/>
    <n v="12"/>
    <n v="60"/>
    <n v="194"/>
    <n v="126.52173913043481"/>
    <n v="0"/>
    <n v="36"/>
    <n v="0"/>
    <n v="0"/>
    <n v="90.000000000000014"/>
    <n v="0"/>
    <n v="2837333.3333333358"/>
    <n v="3584000"/>
    <n v="2943999.9999999995"/>
    <n v="0"/>
    <n v="12416000"/>
    <n v="56960"/>
    <n v="0"/>
    <n v="2525226.6666666688"/>
    <n v="3189760"/>
    <n v="2620159.9999999995"/>
    <n v="0"/>
    <n v="11050240"/>
    <x v="0"/>
    <n v="-36"/>
    <n v="0"/>
    <n v="0"/>
    <n v="0"/>
  </r>
  <r>
    <n v="661"/>
    <x v="4"/>
    <s v="P6000130"/>
    <s v="F STAGE 2 - TOOTHBRUSH TRANIER"/>
    <x v="2"/>
    <n v="64000"/>
    <n v="28.666666666666657"/>
    <n v="24"/>
    <n v="32.333333333333336"/>
    <n v="98"/>
    <n v="0"/>
    <n v="0"/>
    <n v="0"/>
    <n v="0"/>
    <n v="36"/>
    <n v="12"/>
    <n v="60"/>
    <n v="98"/>
    <n v="90.927835051546396"/>
    <n v="0"/>
    <n v="36"/>
    <n v="0"/>
    <n v="0"/>
    <n v="68.659793814432987"/>
    <n v="0"/>
    <n v="1834666.666666666"/>
    <n v="1536000"/>
    <n v="2069333.3333333335"/>
    <n v="0"/>
    <n v="6272000"/>
    <n v="56960"/>
    <n v="0"/>
    <n v="1632853.3333333328"/>
    <n v="1367040"/>
    <n v="1841706.6666666667"/>
    <n v="0"/>
    <n v="5582080"/>
    <x v="0"/>
    <n v="-36"/>
    <n v="0"/>
    <n v="0"/>
    <n v="0"/>
  </r>
  <r>
    <n v="662"/>
    <x v="4"/>
    <s v="P6000131"/>
    <s v="F STAGE 3 - BABY TOOTHBRUSH - PINK"/>
    <x v="2"/>
    <n v="72000"/>
    <n v="23.333333333333329"/>
    <n v="22"/>
    <n v="23"/>
    <n v="154"/>
    <n v="0"/>
    <n v="0"/>
    <n v="0"/>
    <n v="0"/>
    <n v="0"/>
    <n v="12"/>
    <n v="60"/>
    <n v="154"/>
    <n v="200.86956521739131"/>
    <n v="0"/>
    <n v="0"/>
    <n v="0"/>
    <n v="0"/>
    <n v="172.17391304347825"/>
    <n v="0"/>
    <n v="1679999.9999999998"/>
    <n v="1584000"/>
    <n v="1656000"/>
    <n v="0"/>
    <n v="11088000"/>
    <n v="64080"/>
    <n v="0"/>
    <n v="1495199.9999999998"/>
    <n v="1409760"/>
    <n v="1473840"/>
    <n v="0"/>
    <n v="9868320"/>
    <x v="0"/>
    <n v="0"/>
    <n v="0"/>
    <n v="0"/>
    <n v="0"/>
  </r>
  <r>
    <n v="663"/>
    <x v="4"/>
    <s v="P6000132"/>
    <s v="F STAGE 3 - BABY TOOTHBRUSH - BIRU"/>
    <x v="2"/>
    <n v="72000"/>
    <n v="30.66666666666697"/>
    <n v="37"/>
    <n v="32.666666666666664"/>
    <n v="150"/>
    <n v="0"/>
    <n v="0"/>
    <n v="0"/>
    <n v="0"/>
    <n v="24"/>
    <n v="12"/>
    <n v="60"/>
    <n v="150"/>
    <n v="137.75510204081633"/>
    <n v="0"/>
    <n v="24"/>
    <n v="0"/>
    <n v="0"/>
    <n v="103.77551020408164"/>
    <n v="0"/>
    <n v="2208000.0000000219"/>
    <n v="2664000"/>
    <n v="2352000"/>
    <n v="0"/>
    <n v="10800000"/>
    <n v="64080"/>
    <n v="0"/>
    <n v="1965120.0000000193"/>
    <n v="2370960"/>
    <n v="2093279.9999999998"/>
    <n v="0"/>
    <n v="9612000"/>
    <x v="0"/>
    <n v="-24"/>
    <n v="0"/>
    <n v="0"/>
    <n v="0"/>
  </r>
  <r>
    <n v="664"/>
    <x v="4"/>
    <s v="P6000133"/>
    <s v="INTERLAC PRO-D APPLE (C)"/>
    <x v="2"/>
    <n v="340000"/>
    <n v="15"/>
    <n v="12"/>
    <n v="15.666666666666668"/>
    <n v="184"/>
    <n v="10"/>
    <n v="0"/>
    <n v="51"/>
    <n v="0"/>
    <n v="10"/>
    <n v="160"/>
    <n v="60"/>
    <n v="245"/>
    <n v="469.14893617021272"/>
    <n v="0"/>
    <n v="0"/>
    <n v="0"/>
    <n v="0"/>
    <n v="446.17021276595739"/>
    <n v="0"/>
    <n v="5100000"/>
    <n v="4080000"/>
    <n v="5326666.666666667"/>
    <n v="0"/>
    <n v="83300000"/>
    <n v="302600"/>
    <n v="0"/>
    <n v="4539000"/>
    <n v="3631200"/>
    <n v="4740733.333333334"/>
    <n v="0"/>
    <n v="74137000"/>
    <x v="0"/>
    <n v="0"/>
    <n v="0"/>
    <n v="0"/>
    <n v="0"/>
  </r>
  <r>
    <n v="665"/>
    <x v="4"/>
    <s v="P6000136"/>
    <s v="MSL HAIR STYLER &amp; SKIN FRESHENER"/>
    <x v="3"/>
    <n v="155000"/>
    <n v="63.333333333332902"/>
    <n v="69"/>
    <n v="62.666666666666671"/>
    <n v="170"/>
    <n v="218"/>
    <n v="0"/>
    <n v="0"/>
    <n v="0"/>
    <n v="50"/>
    <n v="10"/>
    <n v="60"/>
    <n v="388"/>
    <n v="185.74468085106383"/>
    <n v="0"/>
    <n v="50"/>
    <n v="0"/>
    <n v="0"/>
    <n v="152.71276595744681"/>
    <n v="0"/>
    <n v="9816666.666666599"/>
    <n v="10695000"/>
    <n v="9713333.333333334"/>
    <n v="0"/>
    <n v="60140000"/>
    <n v="137950"/>
    <n v="0"/>
    <n v="8736833.3333332743"/>
    <n v="9518550"/>
    <n v="8644866.6666666679"/>
    <n v="0"/>
    <n v="53524600"/>
    <x v="0"/>
    <n v="-50"/>
    <n v="0"/>
    <n v="0"/>
    <n v="0"/>
  </r>
  <r>
    <n v="666"/>
    <x v="4"/>
    <s v="P6000155"/>
    <s v="D T BODYLOTION LAVENDER ESS OIL"/>
    <x v="2"/>
    <n v="247000"/>
    <n v="-1.3333333333333299"/>
    <n v="2"/>
    <n v="-1"/>
    <n v="26"/>
    <n v="0"/>
    <n v="6"/>
    <n v="0"/>
    <n v="6"/>
    <n v="0"/>
    <n v="12"/>
    <n v="60"/>
    <n v="26"/>
    <n v="9999"/>
    <n v="0"/>
    <n v="0"/>
    <n v="0"/>
    <n v="0"/>
    <n v="9999"/>
    <n v="0"/>
    <n v="-329333.3333333325"/>
    <n v="494000"/>
    <n v="-247000"/>
    <n v="1482000"/>
    <n v="6422000"/>
    <n v="219830"/>
    <n v="0"/>
    <n v="-293106.66666666593"/>
    <n v="439660"/>
    <n v="-219830"/>
    <n v="1318980"/>
    <n v="5715580"/>
    <x v="0"/>
    <n v="0"/>
    <n v="0"/>
    <n v="0"/>
    <n v="0"/>
  </r>
  <r>
    <n v="667"/>
    <x v="4"/>
    <s v="P6000156"/>
    <s v="D T BODYLOTION EUCALYPTUS&amp;SPEARMINT"/>
    <x v="2"/>
    <n v="247000"/>
    <n v="1.9999999999999998"/>
    <n v="6"/>
    <n v="3.6666666666666665"/>
    <n v="15"/>
    <n v="0"/>
    <n v="6"/>
    <n v="0"/>
    <n v="6"/>
    <n v="0"/>
    <n v="12"/>
    <n v="60"/>
    <n v="15"/>
    <n v="122.72727272727272"/>
    <n v="0"/>
    <n v="0"/>
    <n v="0"/>
    <n v="0"/>
    <n v="122.72727272727272"/>
    <n v="0"/>
    <n v="493999.99999999994"/>
    <n v="1482000"/>
    <n v="905666.66666666663"/>
    <n v="1482000"/>
    <n v="3705000"/>
    <n v="219830"/>
    <n v="0"/>
    <n v="439659.99999999994"/>
    <n v="1318980"/>
    <n v="806043.33333333326"/>
    <n v="1318980"/>
    <n v="3297450"/>
    <x v="0"/>
    <n v="0"/>
    <n v="0"/>
    <n v="0"/>
    <n v="0"/>
  </r>
  <r>
    <n v="668"/>
    <x v="4"/>
    <s v="P6000157"/>
    <s v="D T BODY SCRUB W LAVENDER"/>
    <x v="2"/>
    <n v="278000"/>
    <n v="3.6666666666666301"/>
    <n v="3"/>
    <n v="2.6666666666666665"/>
    <n v="36"/>
    <n v="0"/>
    <n v="0"/>
    <n v="0"/>
    <n v="0"/>
    <n v="0"/>
    <n v="12"/>
    <n v="60"/>
    <n v="36"/>
    <n v="405"/>
    <n v="0"/>
    <n v="0"/>
    <n v="0"/>
    <n v="0"/>
    <n v="371.25"/>
    <n v="0"/>
    <n v="1019333.3333333231"/>
    <n v="834000"/>
    <n v="741333.33333333326"/>
    <n v="0"/>
    <n v="10008000"/>
    <n v="247420"/>
    <n v="0"/>
    <n v="907206.66666665766"/>
    <n v="742260"/>
    <n v="659786.66666666663"/>
    <n v="0"/>
    <n v="8907120"/>
    <x v="0"/>
    <n v="0"/>
    <n v="0"/>
    <n v="0"/>
    <n v="0"/>
  </r>
  <r>
    <n v="669"/>
    <x v="4"/>
    <s v="P6000158"/>
    <s v="D T PINK HIMALAYAN SALT SCRUB"/>
    <x v="2"/>
    <n v="278000"/>
    <n v="1"/>
    <n v="0"/>
    <n v="0.66666666666666663"/>
    <n v="67"/>
    <n v="0"/>
    <n v="0"/>
    <n v="0"/>
    <n v="0"/>
    <n v="0"/>
    <n v="12"/>
    <n v="60"/>
    <n v="67"/>
    <n v="3015"/>
    <n v="0"/>
    <n v="0"/>
    <n v="0"/>
    <n v="0"/>
    <n v="3015"/>
    <n v="0"/>
    <n v="278000"/>
    <n v="0"/>
    <n v="185333.33333333331"/>
    <n v="0"/>
    <n v="18626000"/>
    <n v="247420"/>
    <n v="0"/>
    <n v="247420"/>
    <n v="0"/>
    <n v="164946.66666666666"/>
    <n v="0"/>
    <n v="16577140"/>
    <x v="0"/>
    <n v="0"/>
    <n v="0"/>
    <n v="0"/>
    <n v="0"/>
  </r>
  <r>
    <n v="670"/>
    <x v="4"/>
    <s v="P6000159"/>
    <s v="D T BODY SCRUB EUCALYPTUS &amp; SPRMINT"/>
    <x v="2"/>
    <n v="278000"/>
    <n v="-0.33333333333332998"/>
    <n v="0"/>
    <n v="0.66666666666666663"/>
    <n v="38"/>
    <n v="0"/>
    <n v="0"/>
    <n v="0"/>
    <n v="0"/>
    <n v="0"/>
    <n v="12"/>
    <n v="60"/>
    <n v="38"/>
    <n v="1710"/>
    <n v="0"/>
    <n v="0"/>
    <n v="0"/>
    <n v="0"/>
    <n v="1710"/>
    <n v="0"/>
    <n v="-92666.66666666574"/>
    <n v="0"/>
    <n v="185333.33333333331"/>
    <n v="0"/>
    <n v="10564000"/>
    <n v="247420"/>
    <n v="0"/>
    <n v="-82473.333333332499"/>
    <n v="0"/>
    <n v="164946.66666666666"/>
    <n v="0"/>
    <n v="9401960"/>
    <x v="0"/>
    <n v="0"/>
    <n v="0"/>
    <n v="0"/>
    <n v="0"/>
  </r>
  <r>
    <n v="671"/>
    <x v="4"/>
    <s v="P6000160"/>
    <s v="D T BODYWASH W EUCALYPTUS&amp;SPEARMINT"/>
    <x v="2"/>
    <n v="247000"/>
    <n v="4.3333333333333304"/>
    <n v="2"/>
    <n v="3"/>
    <n v="23"/>
    <n v="0"/>
    <n v="6"/>
    <n v="0"/>
    <n v="6"/>
    <n v="0"/>
    <n v="4"/>
    <n v="60"/>
    <n v="23"/>
    <n v="230"/>
    <n v="0"/>
    <n v="0"/>
    <n v="0"/>
    <n v="0"/>
    <n v="270"/>
    <n v="0"/>
    <n v="1070333.3333333326"/>
    <n v="494000"/>
    <n v="741000"/>
    <n v="1482000"/>
    <n v="5681000"/>
    <n v="219830"/>
    <n v="0"/>
    <n v="952596.66666666605"/>
    <n v="439660"/>
    <n v="659490"/>
    <n v="1318980"/>
    <n v="5056090"/>
    <x v="0"/>
    <n v="0"/>
    <n v="0"/>
    <n v="0"/>
    <n v="0"/>
  </r>
  <r>
    <n v="672"/>
    <x v="4"/>
    <s v="P6000161"/>
    <s v="D T BODYWASH W LAVENDER"/>
    <x v="2"/>
    <n v="247000"/>
    <n v="6.6666666666666998"/>
    <n v="6"/>
    <n v="8.3333333333333339"/>
    <n v="21"/>
    <n v="0"/>
    <n v="0"/>
    <n v="0"/>
    <n v="0"/>
    <n v="0"/>
    <n v="4"/>
    <n v="60"/>
    <n v="21"/>
    <n v="75.599999999999994"/>
    <n v="1.6666666666666679"/>
    <n v="0"/>
    <n v="0"/>
    <n v="0"/>
    <n v="53.999999999999993"/>
    <n v="0"/>
    <n v="1646666.6666666749"/>
    <n v="1482000"/>
    <n v="2058333.3333333335"/>
    <n v="0"/>
    <n v="5187000"/>
    <n v="219830"/>
    <n v="0"/>
    <n v="1465533.3333333407"/>
    <n v="1318980"/>
    <n v="1831916.6666666667"/>
    <n v="0"/>
    <n v="4616430"/>
    <x v="0"/>
    <n v="0"/>
    <n v="0"/>
    <n v="0"/>
    <n v="0"/>
  </r>
  <r>
    <n v="673"/>
    <x v="4"/>
    <s v="P6000167"/>
    <s v="D T SALT SOAKING  EUC&amp;SPRMINT 450G"/>
    <x v="2"/>
    <n v="131000"/>
    <n v="2.3333333333333299"/>
    <n v="6"/>
    <n v="2.3333333333333335"/>
    <n v="6"/>
    <n v="0"/>
    <n v="6"/>
    <n v="0"/>
    <n v="0"/>
    <n v="0"/>
    <n v="12"/>
    <n v="60"/>
    <n v="6"/>
    <n v="77.142857142857139"/>
    <n v="4.6666666666666679"/>
    <n v="6"/>
    <n v="0"/>
    <n v="0"/>
    <n v="0"/>
    <n v="0"/>
    <n v="305666.66666666622"/>
    <n v="786000"/>
    <n v="305666.66666666669"/>
    <n v="0"/>
    <n v="786000"/>
    <n v="116590"/>
    <n v="0"/>
    <n v="272043.33333333296"/>
    <n v="699540"/>
    <n v="272043.33333333337"/>
    <n v="0"/>
    <n v="699540"/>
    <x v="0"/>
    <n v="-6"/>
    <n v="0"/>
    <n v="0"/>
    <n v="0"/>
  </r>
  <r>
    <n v="674"/>
    <x v="4"/>
    <s v="P6000168"/>
    <s v="D T SALT SOAKING LAVENDER 450G"/>
    <x v="2"/>
    <n v="131000"/>
    <n v="3.6666666666666599"/>
    <n v="2"/>
    <n v="4"/>
    <n v="33"/>
    <n v="0"/>
    <n v="6"/>
    <n v="0"/>
    <n v="0"/>
    <n v="0"/>
    <n v="12"/>
    <n v="60"/>
    <n v="33"/>
    <n v="247.5"/>
    <n v="0"/>
    <n v="6"/>
    <n v="0"/>
    <n v="0"/>
    <n v="232.5"/>
    <n v="0"/>
    <n v="480333.33333333244"/>
    <n v="262000"/>
    <n v="524000"/>
    <n v="0"/>
    <n v="4323000"/>
    <n v="116590"/>
    <n v="0"/>
    <n v="427496.66666666587"/>
    <n v="233180"/>
    <n v="466360"/>
    <n v="0"/>
    <n v="3847470"/>
    <x v="0"/>
    <n v="-6"/>
    <n v="0"/>
    <n v="0"/>
    <n v="0"/>
  </r>
  <r>
    <n v="675"/>
    <x v="4"/>
    <s v="P6000169"/>
    <s v="D T  SALT SOAKING SULFT&amp;MTHL 1360G"/>
    <x v="2"/>
    <n v="226000"/>
    <n v="1.3333333333333299"/>
    <n v="2"/>
    <n v="2"/>
    <n v="38"/>
    <n v="3"/>
    <n v="0"/>
    <n v="0"/>
    <n v="0"/>
    <n v="0"/>
    <n v="4"/>
    <n v="60"/>
    <n v="41"/>
    <n v="615"/>
    <n v="0"/>
    <n v="0"/>
    <n v="0"/>
    <n v="0"/>
    <n v="585"/>
    <n v="0"/>
    <n v="301333.33333333256"/>
    <n v="452000"/>
    <n v="452000"/>
    <n v="0"/>
    <n v="9266000"/>
    <n v="201140"/>
    <n v="0"/>
    <n v="268186.66666666599"/>
    <n v="402280"/>
    <n v="402280"/>
    <n v="0"/>
    <n v="8246740"/>
    <x v="0"/>
    <n v="0"/>
    <n v="0"/>
    <n v="0"/>
    <n v="0"/>
  </r>
  <r>
    <n v="676"/>
    <x v="4"/>
    <s v="P6000170"/>
    <s v="D T SALT SOAKING VIT C&amp;CITRUS 1360G"/>
    <x v="2"/>
    <n v="231000"/>
    <n v="4.0000000000000302"/>
    <n v="3"/>
    <n v="3.6666666666666665"/>
    <n v="26"/>
    <n v="3"/>
    <n v="0"/>
    <n v="0"/>
    <n v="0"/>
    <n v="0"/>
    <n v="4"/>
    <n v="60"/>
    <n v="29"/>
    <n v="237.27272727272728"/>
    <n v="0"/>
    <n v="0"/>
    <n v="0"/>
    <n v="0"/>
    <n v="212.72727272727272"/>
    <n v="0"/>
    <n v="924000.00000000698"/>
    <n v="693000"/>
    <n v="847000"/>
    <n v="0"/>
    <n v="6699000"/>
    <n v="205590"/>
    <n v="0"/>
    <n v="822360.00000000617"/>
    <n v="616770"/>
    <n v="753830"/>
    <n v="0"/>
    <n v="5962110"/>
    <x v="0"/>
    <n v="0"/>
    <n v="0"/>
    <n v="0"/>
    <n v="0"/>
  </r>
  <r>
    <n v="677"/>
    <x v="4"/>
    <s v="P6000171"/>
    <s v="D T  SALT SOAKING EUC&amp;SPRMINT 1360G"/>
    <x v="2"/>
    <n v="226000"/>
    <n v="1.3333333333333"/>
    <n v="2"/>
    <n v="1.3333333333333333"/>
    <n v="27"/>
    <n v="3"/>
    <n v="0"/>
    <n v="0"/>
    <n v="0"/>
    <n v="0"/>
    <n v="4"/>
    <n v="60"/>
    <n v="30"/>
    <n v="675"/>
    <n v="0"/>
    <n v="0"/>
    <n v="0"/>
    <n v="0"/>
    <n v="630"/>
    <n v="0"/>
    <n v="301333.33333332581"/>
    <n v="452000"/>
    <n v="301333.33333333331"/>
    <n v="0"/>
    <n v="6780000"/>
    <n v="201140"/>
    <n v="0"/>
    <n v="268186.66666665993"/>
    <n v="402280"/>
    <n v="268186.66666666663"/>
    <n v="0"/>
    <n v="6034200"/>
    <x v="0"/>
    <n v="0"/>
    <n v="0"/>
    <n v="0"/>
    <n v="0"/>
  </r>
  <r>
    <n v="678"/>
    <x v="4"/>
    <s v="P6000173"/>
    <s v="D T SALK SOAKING LAVENDER 1360G"/>
    <x v="2"/>
    <n v="226000"/>
    <n v="1.6666666666667"/>
    <n v="2"/>
    <n v="2.3333333333333335"/>
    <n v="56"/>
    <n v="3"/>
    <n v="0"/>
    <n v="0"/>
    <n v="0"/>
    <n v="0"/>
    <n v="4"/>
    <n v="60"/>
    <n v="59"/>
    <n v="758.57142857142856"/>
    <n v="0"/>
    <n v="0"/>
    <n v="0"/>
    <n v="0"/>
    <n v="732.85714285714278"/>
    <n v="0"/>
    <n v="376666.66666667419"/>
    <n v="452000"/>
    <n v="527333.33333333337"/>
    <n v="0"/>
    <n v="13334000"/>
    <n v="201140"/>
    <n v="0"/>
    <n v="335233.33333334007"/>
    <n v="402280"/>
    <n v="469326.66666666669"/>
    <n v="0"/>
    <n v="11867260"/>
    <x v="0"/>
    <n v="0"/>
    <n v="0"/>
    <n v="0"/>
    <n v="0"/>
  </r>
  <r>
    <n v="679"/>
    <x v="4"/>
    <s v="P6000174"/>
    <s v="D T SALK SOAKING ROSE ESS 1360G"/>
    <x v="2"/>
    <n v="226000"/>
    <n v="1.6666666666667"/>
    <n v="2"/>
    <n v="2.3333333333333335"/>
    <n v="43"/>
    <n v="3"/>
    <n v="0"/>
    <n v="0"/>
    <n v="0"/>
    <n v="0"/>
    <n v="4"/>
    <n v="60"/>
    <n v="46"/>
    <n v="591.42857142857133"/>
    <n v="0"/>
    <n v="0"/>
    <n v="0"/>
    <n v="0"/>
    <n v="565.71428571428578"/>
    <n v="0"/>
    <n v="376666.66666667419"/>
    <n v="452000"/>
    <n v="527333.33333333337"/>
    <n v="0"/>
    <n v="10396000"/>
    <n v="201140"/>
    <n v="0"/>
    <n v="335233.33333334007"/>
    <n v="402280"/>
    <n v="469326.66666666669"/>
    <n v="0"/>
    <n v="9252440"/>
    <x v="0"/>
    <n v="0"/>
    <n v="0"/>
    <n v="0"/>
    <n v="0"/>
  </r>
  <r>
    <n v="680"/>
    <x v="4"/>
    <s v="P6000176"/>
    <s v="D T FOAMINGBATH EUCALYPTUS&amp;SPRMINT"/>
    <x v="2"/>
    <n v="226000"/>
    <n v="5.3333333333333695"/>
    <n v="6"/>
    <n v="2"/>
    <n v="0"/>
    <n v="0"/>
    <n v="0"/>
    <n v="0"/>
    <n v="0"/>
    <n v="0"/>
    <n v="12"/>
    <n v="60"/>
    <n v="0"/>
    <n v="0"/>
    <n v="10"/>
    <n v="0"/>
    <n v="0"/>
    <n v="0"/>
    <n v="0"/>
    <n v="0"/>
    <n v="1205333.3333333414"/>
    <n v="1356000"/>
    <n v="452000"/>
    <n v="0"/>
    <n v="0"/>
    <n v="201140"/>
    <n v="0"/>
    <n v="1072746.666666674"/>
    <n v="1206840"/>
    <n v="402280"/>
    <n v="0"/>
    <n v="0"/>
    <x v="0"/>
    <n v="0"/>
    <n v="0"/>
    <n v="0"/>
    <n v="0"/>
  </r>
  <r>
    <n v="681"/>
    <x v="4"/>
    <s v="P6000177"/>
    <s v="D T FOAMINGBATH ROSE ESSENTIAL OIL"/>
    <x v="2"/>
    <n v="226000"/>
    <n v="1.6666666666666701"/>
    <n v="3"/>
    <n v="3"/>
    <n v="28"/>
    <n v="0"/>
    <n v="0"/>
    <n v="0"/>
    <n v="0"/>
    <n v="0"/>
    <n v="12"/>
    <n v="60"/>
    <n v="28"/>
    <n v="280"/>
    <n v="0"/>
    <n v="0"/>
    <n v="0"/>
    <n v="0"/>
    <n v="250.00000000000003"/>
    <n v="0"/>
    <n v="376666.66666666744"/>
    <n v="678000"/>
    <n v="678000"/>
    <n v="0"/>
    <n v="6328000"/>
    <n v="201140"/>
    <n v="0"/>
    <n v="335233.33333333401"/>
    <n v="603420"/>
    <n v="603420"/>
    <n v="0"/>
    <n v="5631920"/>
    <x v="0"/>
    <n v="0"/>
    <n v="0"/>
    <n v="0"/>
    <n v="0"/>
  </r>
  <r>
    <n v="682"/>
    <x v="4"/>
    <s v="P6000178"/>
    <s v="D T PINK HIMALAYAN FOAMING BATH"/>
    <x v="2"/>
    <n v="226000"/>
    <n v="-0.66666666666666996"/>
    <n v="0"/>
    <n v="-0.66666666666666663"/>
    <n v="24"/>
    <n v="0"/>
    <n v="0"/>
    <n v="0"/>
    <n v="0"/>
    <n v="0"/>
    <n v="12"/>
    <n v="60"/>
    <n v="24"/>
    <n v="9999"/>
    <n v="0"/>
    <n v="0"/>
    <n v="0"/>
    <n v="0"/>
    <n v="9999"/>
    <n v="0"/>
    <n v="-150666.66666666741"/>
    <n v="0"/>
    <n v="-150666.66666666666"/>
    <n v="0"/>
    <n v="5424000"/>
    <n v="201140"/>
    <n v="0"/>
    <n v="-134093.33333333398"/>
    <n v="0"/>
    <n v="-134093.33333333331"/>
    <n v="0"/>
    <n v="4827360"/>
    <x v="0"/>
    <n v="0"/>
    <n v="0"/>
    <n v="0"/>
    <n v="0"/>
  </r>
  <r>
    <n v="683"/>
    <x v="4"/>
    <s v="P6000179"/>
    <s v="D T FOAMINGBATH WITH LAVENDER"/>
    <x v="2"/>
    <n v="226000"/>
    <n v="-1"/>
    <n v="2"/>
    <n v="0.33333333333333331"/>
    <n v="10"/>
    <n v="0"/>
    <n v="0"/>
    <n v="0"/>
    <n v="0"/>
    <n v="0"/>
    <n v="12"/>
    <n v="60"/>
    <n v="10"/>
    <n v="900"/>
    <n v="0"/>
    <n v="0"/>
    <n v="0"/>
    <n v="0"/>
    <n v="720"/>
    <n v="0"/>
    <n v="-226000"/>
    <n v="452000"/>
    <n v="75333.333333333328"/>
    <n v="0"/>
    <n v="2260000"/>
    <n v="201140"/>
    <n v="0"/>
    <n v="-201140"/>
    <n v="402280"/>
    <n v="67046.666666666657"/>
    <n v="0"/>
    <n v="2011400"/>
    <x v="0"/>
    <n v="0"/>
    <n v="0"/>
    <n v="0"/>
    <n v="0"/>
  </r>
  <r>
    <n v="684"/>
    <x v="4"/>
    <s v="P6000180"/>
    <s v="D T FOOT CREAM SHEA BUTTER&amp;ALOEVERA"/>
    <x v="2"/>
    <n v="200000"/>
    <n v="0"/>
    <n v="0"/>
    <n v="0"/>
    <n v="13"/>
    <n v="3"/>
    <n v="0"/>
    <n v="0"/>
    <n v="0"/>
    <n v="0"/>
    <n v="12"/>
    <n v="60"/>
    <n v="16"/>
    <n v="9999"/>
    <n v="0"/>
    <n v="0"/>
    <n v="0"/>
    <n v="0"/>
    <n v="9999"/>
    <n v="0"/>
    <n v="0"/>
    <n v="0"/>
    <n v="0"/>
    <n v="0"/>
    <n v="3200000"/>
    <n v="178000"/>
    <n v="0"/>
    <n v="0"/>
    <n v="0"/>
    <n v="0"/>
    <n v="0"/>
    <n v="2848000"/>
    <x v="0"/>
    <n v="0"/>
    <n v="0"/>
    <n v="0"/>
    <n v="0"/>
  </r>
  <r>
    <n v="685"/>
    <x v="4"/>
    <s v="P6000181"/>
    <s v="D T FOOT SOAK COOLING PEPPERMINT"/>
    <x v="2"/>
    <n v="182000"/>
    <n v="3.3333333333333002"/>
    <n v="5"/>
    <n v="3"/>
    <n v="9"/>
    <n v="0"/>
    <n v="0"/>
    <n v="0"/>
    <n v="0"/>
    <n v="9"/>
    <n v="3"/>
    <n v="60"/>
    <n v="9"/>
    <n v="90"/>
    <n v="2"/>
    <n v="9"/>
    <n v="0"/>
    <n v="0"/>
    <n v="40"/>
    <n v="0"/>
    <n v="606666.66666666057"/>
    <n v="910000"/>
    <n v="546000"/>
    <n v="0"/>
    <n v="1638000"/>
    <n v="161980"/>
    <n v="0"/>
    <n v="539933.33333332802"/>
    <n v="809900"/>
    <n v="485940"/>
    <n v="0"/>
    <n v="1457820"/>
    <x v="0"/>
    <n v="-9"/>
    <n v="0"/>
    <n v="0"/>
    <n v="0"/>
  </r>
  <r>
    <n v="686"/>
    <x v="4"/>
    <s v="P6000185"/>
    <s v="PHYSIOMER BABY NASAL ASPIRATOR"/>
    <x v="3"/>
    <n v="150000"/>
    <n v="46.333333333333691"/>
    <n v="60"/>
    <n v="53.999999999999993"/>
    <n v="187"/>
    <n v="0"/>
    <n v="12"/>
    <n v="0"/>
    <n v="0"/>
    <n v="24"/>
    <n v="12"/>
    <n v="60"/>
    <n v="187"/>
    <n v="103.8888888888889"/>
    <n v="0"/>
    <n v="36"/>
    <n v="0"/>
    <n v="0"/>
    <n v="70.555555555555557"/>
    <n v="0"/>
    <n v="6950000.000000054"/>
    <n v="9000000"/>
    <n v="8099999.9999999991"/>
    <n v="0"/>
    <n v="28050000"/>
    <n v="133500"/>
    <n v="0"/>
    <n v="6185500.0000000475"/>
    <n v="8010000"/>
    <n v="7208999.9999999991"/>
    <n v="0"/>
    <n v="24964500"/>
    <x v="0"/>
    <n v="-36"/>
    <n v="0"/>
    <n v="0"/>
    <n v="0"/>
  </r>
  <r>
    <n v="687"/>
    <x v="4"/>
    <s v="P6000186"/>
    <s v="PHYS B NASAL ASPIRA FILTERS REF BOX"/>
    <x v="2"/>
    <n v="90000"/>
    <n v="16"/>
    <n v="16"/>
    <n v="20.333333333333336"/>
    <n v="193"/>
    <n v="6"/>
    <n v="0"/>
    <n v="6"/>
    <n v="0"/>
    <n v="0"/>
    <n v="24"/>
    <n v="60"/>
    <n v="205"/>
    <n v="302.4590163934426"/>
    <n v="0"/>
    <n v="0"/>
    <n v="0"/>
    <n v="0"/>
    <n v="278.85245901639337"/>
    <n v="0"/>
    <n v="1440000"/>
    <n v="1440000"/>
    <n v="1830000.0000000002"/>
    <n v="0"/>
    <n v="18450000"/>
    <n v="80100"/>
    <n v="0"/>
    <n v="1281600"/>
    <n v="1281600"/>
    <n v="1628700.0000000002"/>
    <n v="0"/>
    <n v="16420500"/>
    <x v="0"/>
    <n v="0"/>
    <n v="0"/>
    <n v="0"/>
    <n v="0"/>
  </r>
  <r>
    <n v="688"/>
    <x v="4"/>
    <s v="P6000191"/>
    <s v="FARLIN CHERRY PACIFIER 0M+ CARAMEL"/>
    <x v="2"/>
    <n v="103000"/>
    <n v="0"/>
    <n v="3"/>
    <n v="1"/>
    <n v="26"/>
    <n v="0"/>
    <n v="5"/>
    <n v="0"/>
    <n v="0"/>
    <n v="0"/>
    <n v="12"/>
    <n v="60"/>
    <n v="26"/>
    <n v="780"/>
    <n v="0"/>
    <n v="5"/>
    <n v="0"/>
    <n v="0"/>
    <n v="690"/>
    <n v="0"/>
    <n v="0"/>
    <n v="309000"/>
    <n v="103000"/>
    <n v="0"/>
    <n v="2678000"/>
    <n v="91670"/>
    <n v="0"/>
    <n v="0"/>
    <n v="275010"/>
    <n v="91670"/>
    <n v="0"/>
    <n v="2383420"/>
    <x v="0"/>
    <n v="-5"/>
    <n v="0"/>
    <n v="0"/>
    <n v="0"/>
  </r>
  <r>
    <n v="689"/>
    <x v="4"/>
    <s v="P6000192"/>
    <s v="FARLIN CHERRY PACIFIER 0M+ BLUE"/>
    <x v="2"/>
    <n v="103000"/>
    <n v="1.9999999999999698"/>
    <n v="6"/>
    <n v="3.3333333333333335"/>
    <n v="3"/>
    <n v="0"/>
    <n v="6"/>
    <n v="0"/>
    <n v="0"/>
    <n v="0"/>
    <n v="12"/>
    <n v="60"/>
    <n v="3"/>
    <n v="26.999999999999996"/>
    <n v="9.6666666666666679"/>
    <n v="6"/>
    <n v="0"/>
    <n v="0"/>
    <n v="0"/>
    <n v="0"/>
    <n v="205999.99999999689"/>
    <n v="618000"/>
    <n v="343333.33333333337"/>
    <n v="0"/>
    <n v="309000"/>
    <n v="91670"/>
    <n v="0"/>
    <n v="183339.99999999724"/>
    <n v="550020"/>
    <n v="305566.66666666669"/>
    <n v="0"/>
    <n v="275010"/>
    <x v="0"/>
    <n v="-6"/>
    <n v="0"/>
    <n v="0"/>
    <n v="0"/>
  </r>
  <r>
    <n v="690"/>
    <x v="4"/>
    <s v="P6000193"/>
    <s v="FARLIN CHERRY PACIFIER 0M+ PINK"/>
    <x v="2"/>
    <n v="103000"/>
    <n v="7.3333333333333783"/>
    <n v="2"/>
    <n v="5.0000000000000009"/>
    <n v="25"/>
    <n v="0"/>
    <n v="0"/>
    <n v="0"/>
    <n v="0"/>
    <n v="0"/>
    <n v="12"/>
    <n v="60"/>
    <n v="25"/>
    <n v="149.99999999999997"/>
    <n v="0"/>
    <n v="0"/>
    <n v="0"/>
    <n v="0"/>
    <n v="137.99999999999997"/>
    <n v="0"/>
    <n v="755333.33333333791"/>
    <n v="206000"/>
    <n v="515000.00000000012"/>
    <n v="0"/>
    <n v="2575000"/>
    <n v="91670"/>
    <n v="0"/>
    <n v="672246.66666667082"/>
    <n v="183340"/>
    <n v="458350.00000000006"/>
    <n v="0"/>
    <n v="2291750"/>
    <x v="0"/>
    <n v="0"/>
    <n v="0"/>
    <n v="0"/>
    <n v="0"/>
  </r>
  <r>
    <n v="691"/>
    <x v="4"/>
    <s v="P6000202"/>
    <s v="MTL ARNICA GEL W OR CALENDULA"/>
    <x v="2"/>
    <n v="346000"/>
    <n v="2.6666666666666599"/>
    <n v="9"/>
    <n v="3.6666666666666665"/>
    <n v="15"/>
    <n v="42"/>
    <n v="12"/>
    <n v="0"/>
    <n v="0"/>
    <n v="12"/>
    <n v="12"/>
    <n v="60"/>
    <n v="57"/>
    <n v="466.36363636363637"/>
    <n v="0"/>
    <n v="24"/>
    <n v="0"/>
    <n v="0"/>
    <n v="392.72727272727275"/>
    <n v="0"/>
    <n v="922666.6666666643"/>
    <n v="3114000"/>
    <n v="1268666.6666666665"/>
    <n v="0"/>
    <n v="19722000"/>
    <n v="307940"/>
    <n v="0"/>
    <n v="821173.33333333128"/>
    <n v="2771460"/>
    <n v="1129113.3333333333"/>
    <n v="0"/>
    <n v="17552580"/>
    <x v="0"/>
    <n v="-24"/>
    <n v="0"/>
    <n v="0"/>
    <n v="0"/>
  </r>
  <r>
    <n v="692"/>
    <x v="4"/>
    <s v="P6000203"/>
    <s v="MUSTELA STRETCH MARKS OIL 105ML"/>
    <x v="3"/>
    <n v="390000"/>
    <n v="5.3333333333333002"/>
    <n v="13"/>
    <n v="10.666666666666668"/>
    <n v="30"/>
    <n v="24"/>
    <n v="0"/>
    <n v="12"/>
    <n v="0"/>
    <n v="0"/>
    <n v="12"/>
    <n v="60"/>
    <n v="66"/>
    <n v="185.62499999999997"/>
    <n v="0"/>
    <n v="0"/>
    <n v="0"/>
    <n v="0"/>
    <n v="149.06249999999997"/>
    <n v="0"/>
    <n v="2079999.999999987"/>
    <n v="5070000"/>
    <n v="4160000.0000000005"/>
    <n v="0"/>
    <n v="25740000"/>
    <n v="347100"/>
    <n v="0"/>
    <n v="1851199.9999999886"/>
    <n v="4512300"/>
    <n v="3702400.0000000005"/>
    <n v="0"/>
    <n v="22908600"/>
    <x v="0"/>
    <n v="0"/>
    <n v="0"/>
    <n v="0"/>
    <n v="0"/>
  </r>
  <r>
    <n v="693"/>
    <x v="4"/>
    <s v="P6000204"/>
    <s v="MTL HIGH PROTECTION SUN SPRAY 200ML"/>
    <x v="3"/>
    <n v="635000"/>
    <n v="22.6666666666667"/>
    <n v="28"/>
    <n v="25.999999999999996"/>
    <n v="23"/>
    <n v="0"/>
    <n v="0"/>
    <n v="0"/>
    <n v="0"/>
    <n v="40"/>
    <n v="10"/>
    <n v="60"/>
    <n v="23"/>
    <n v="26.53846153846154"/>
    <n v="57"/>
    <n v="40"/>
    <n v="42.75"/>
    <n v="40"/>
    <n v="40.384615384615387"/>
    <n v="25400000"/>
    <n v="14393333.333333354"/>
    <n v="17780000"/>
    <n v="16509999.999999998"/>
    <n v="0"/>
    <n v="14605000"/>
    <n v="565150"/>
    <n v="22606000"/>
    <n v="12810066.666666685"/>
    <n v="15824200"/>
    <n v="14693899.999999998"/>
    <n v="0"/>
    <n v="12998450"/>
    <x v="0"/>
    <n v="0"/>
    <n v="0"/>
    <n v="0"/>
    <n v="0"/>
  </r>
  <r>
    <n v="694"/>
    <x v="4"/>
    <s v="P6000205"/>
    <s v="MTL HIGH PROTECTION SUN STICK 9ML"/>
    <x v="3"/>
    <n v="283000"/>
    <n v="32.999999999999773"/>
    <n v="39.646500000000003"/>
    <n v="39.215500000000006"/>
    <n v="106"/>
    <n v="28"/>
    <n v="0"/>
    <n v="0"/>
    <n v="0"/>
    <n v="42"/>
    <n v="14"/>
    <n v="60"/>
    <n v="134"/>
    <n v="102.51048692481288"/>
    <n v="0"/>
    <n v="42"/>
    <n v="0"/>
    <n v="0"/>
    <n v="72.180770358659188"/>
    <n v="0"/>
    <n v="9338999.9999999348"/>
    <n v="11219959.5"/>
    <n v="11097986.500000002"/>
    <n v="0"/>
    <n v="37922000"/>
    <n v="251870"/>
    <n v="0"/>
    <n v="8311709.9999999432"/>
    <n v="9985763.9550000001"/>
    <n v="9877207.9850000013"/>
    <n v="0"/>
    <n v="33750580"/>
    <x v="0"/>
    <n v="-42"/>
    <n v="0"/>
    <n v="0"/>
    <n v="0"/>
  </r>
  <r>
    <n v="695"/>
    <x v="4"/>
    <s v="P6000220"/>
    <s v="D T BODYLOTION MOIS SLEEP BLEND"/>
    <x v="2"/>
    <n v="236000"/>
    <n v="2"/>
    <n v="3"/>
    <n v="2"/>
    <n v="0"/>
    <n v="0"/>
    <n v="0"/>
    <n v="0"/>
    <n v="0"/>
    <n v="0"/>
    <n v="12"/>
    <n v="60"/>
    <n v="0"/>
    <n v="0"/>
    <n v="7"/>
    <n v="0"/>
    <n v="0"/>
    <n v="0"/>
    <n v="0"/>
    <n v="0"/>
    <n v="472000"/>
    <n v="708000"/>
    <n v="472000"/>
    <n v="0"/>
    <n v="0"/>
    <n v="210040"/>
    <n v="0"/>
    <n v="420080"/>
    <n v="630120"/>
    <n v="420080"/>
    <n v="0"/>
    <n v="0"/>
    <x v="0"/>
    <n v="0"/>
    <n v="0"/>
    <n v="0"/>
    <n v="0"/>
  </r>
  <r>
    <n v="696"/>
    <x v="4"/>
    <s v="P6000221"/>
    <s v="D T BODYLOTION GLOW &amp; RADIANCE"/>
    <x v="2"/>
    <n v="247000"/>
    <n v="2.0000000000000302"/>
    <n v="3"/>
    <n v="1.3333333333333333"/>
    <n v="20"/>
    <n v="0"/>
    <n v="0"/>
    <n v="0"/>
    <n v="0"/>
    <n v="0"/>
    <n v="12"/>
    <n v="60"/>
    <n v="20"/>
    <n v="450"/>
    <n v="0"/>
    <n v="0"/>
    <n v="0"/>
    <n v="0"/>
    <n v="382.5"/>
    <n v="0"/>
    <n v="494000.00000000745"/>
    <n v="741000"/>
    <n v="329333.33333333331"/>
    <n v="0"/>
    <n v="4940000"/>
    <n v="219830"/>
    <n v="0"/>
    <n v="439660.00000000664"/>
    <n v="659490"/>
    <n v="293106.66666666663"/>
    <n v="0"/>
    <n v="4396600"/>
    <x v="0"/>
    <n v="0"/>
    <n v="0"/>
    <n v="0"/>
    <n v="0"/>
  </r>
  <r>
    <n v="697"/>
    <x v="4"/>
    <s v="P6000222"/>
    <s v="D T PINKHIMA SALTSCRUB GLOW&amp;RAD"/>
    <x v="2"/>
    <n v="278000"/>
    <n v="1"/>
    <n v="1"/>
    <n v="1.3333333333333333"/>
    <n v="148"/>
    <n v="0"/>
    <n v="0"/>
    <n v="0"/>
    <n v="0"/>
    <n v="0"/>
    <n v="12"/>
    <n v="60"/>
    <n v="148"/>
    <n v="3330"/>
    <n v="0"/>
    <n v="0"/>
    <n v="0"/>
    <n v="0"/>
    <n v="3307.5"/>
    <n v="0"/>
    <n v="278000"/>
    <n v="278000"/>
    <n v="370666.66666666663"/>
    <n v="0"/>
    <n v="41144000"/>
    <n v="247420"/>
    <n v="0"/>
    <n v="247420"/>
    <n v="247420"/>
    <n v="329893.33333333331"/>
    <n v="0"/>
    <n v="36618160"/>
    <x v="0"/>
    <n v="0"/>
    <n v="0"/>
    <n v="0"/>
    <n v="0"/>
  </r>
  <r>
    <n v="698"/>
    <x v="4"/>
    <s v="P6000223"/>
    <s v="D T BODYWASH GLOW &amp; RADIANCE VIT C"/>
    <x v="2"/>
    <n v="247000"/>
    <n v="2.3333333333333002"/>
    <n v="2"/>
    <n v="3"/>
    <n v="21"/>
    <n v="1"/>
    <n v="6"/>
    <n v="0"/>
    <n v="6"/>
    <n v="0"/>
    <n v="4"/>
    <n v="60"/>
    <n v="22"/>
    <n v="220"/>
    <n v="0"/>
    <n v="0"/>
    <n v="0"/>
    <n v="0"/>
    <n v="260"/>
    <n v="0"/>
    <n v="576333.33333332511"/>
    <n v="494000"/>
    <n v="741000"/>
    <n v="1482000"/>
    <n v="5434000"/>
    <n v="219830"/>
    <n v="0"/>
    <n v="512936.66666665935"/>
    <n v="439660"/>
    <n v="659490"/>
    <n v="1318980"/>
    <n v="4836260"/>
    <x v="0"/>
    <n v="0"/>
    <n v="0"/>
    <n v="0"/>
    <n v="0"/>
  </r>
  <r>
    <n v="699"/>
    <x v="4"/>
    <s v="P6000224"/>
    <s v="D T DEODORANT ROSE &amp; MILK &amp; ESS O"/>
    <x v="2"/>
    <n v="226000"/>
    <n v="0.33333333333333998"/>
    <n v="3"/>
    <n v="0.33333333333333331"/>
    <n v="6"/>
    <n v="0"/>
    <n v="0"/>
    <n v="0"/>
    <n v="0"/>
    <n v="0"/>
    <n v="24"/>
    <n v="60"/>
    <n v="6"/>
    <n v="540"/>
    <n v="0"/>
    <n v="0"/>
    <n v="0"/>
    <n v="0"/>
    <n v="270"/>
    <n v="0"/>
    <n v="75333.333333334842"/>
    <n v="678000"/>
    <n v="75333.333333333328"/>
    <n v="0"/>
    <n v="1356000"/>
    <n v="201140"/>
    <n v="0"/>
    <n v="67046.666666667996"/>
    <n v="603420"/>
    <n v="67046.666666666657"/>
    <n v="0"/>
    <n v="1206840"/>
    <x v="0"/>
    <n v="0"/>
    <n v="0"/>
    <n v="0"/>
    <n v="0"/>
  </r>
  <r>
    <n v="700"/>
    <x v="4"/>
    <s v="P6000225"/>
    <s v="D T DEODORANT EUCALYPTUS&amp;ESS OIL"/>
    <x v="2"/>
    <n v="226000"/>
    <n v="2.3333333333333299"/>
    <n v="2"/>
    <n v="3"/>
    <n v="2"/>
    <n v="7"/>
    <n v="0"/>
    <n v="0"/>
    <n v="0"/>
    <n v="0"/>
    <n v="24"/>
    <n v="60"/>
    <n v="9"/>
    <n v="90"/>
    <n v="0"/>
    <n v="0"/>
    <n v="0"/>
    <n v="0"/>
    <n v="70"/>
    <n v="0"/>
    <n v="527333.33333333256"/>
    <n v="452000"/>
    <n v="678000"/>
    <n v="0"/>
    <n v="2034000"/>
    <n v="201140"/>
    <n v="0"/>
    <n v="469326.66666666599"/>
    <n v="402280"/>
    <n v="603420"/>
    <n v="0"/>
    <n v="1810260"/>
    <x v="0"/>
    <n v="0"/>
    <n v="0"/>
    <n v="0"/>
    <n v="0"/>
  </r>
  <r>
    <n v="701"/>
    <x v="4"/>
    <s v="P6000226"/>
    <s v="D T PURE EPSOMSALT SLEEP SOAK"/>
    <x v="2"/>
    <n v="226000"/>
    <n v="1.6666666666666299"/>
    <n v="2"/>
    <n v="1.6666666666666667"/>
    <n v="54"/>
    <n v="0"/>
    <n v="0"/>
    <n v="0"/>
    <n v="0"/>
    <n v="0"/>
    <n v="4"/>
    <n v="60"/>
    <n v="54"/>
    <n v="972"/>
    <n v="0"/>
    <n v="0"/>
    <n v="0"/>
    <n v="0"/>
    <n v="936"/>
    <n v="0"/>
    <n v="376666.66666665836"/>
    <n v="452000"/>
    <n v="376666.66666666669"/>
    <n v="0"/>
    <n v="12204000"/>
    <n v="201140"/>
    <n v="0"/>
    <n v="335233.33333332592"/>
    <n v="402280"/>
    <n v="335233.33333333337"/>
    <n v="0"/>
    <n v="10861560"/>
    <x v="0"/>
    <n v="0"/>
    <n v="0"/>
    <n v="0"/>
    <n v="0"/>
  </r>
  <r>
    <n v="702"/>
    <x v="4"/>
    <s v="P6000227"/>
    <s v="D T PURE EPSOMSALT COMFORT&amp;CALM"/>
    <x v="2"/>
    <n v="226000"/>
    <n v="0"/>
    <n v="2"/>
    <n v="0.66666666666666663"/>
    <n v="9"/>
    <n v="0"/>
    <n v="0"/>
    <n v="0"/>
    <n v="0"/>
    <n v="0"/>
    <n v="4"/>
    <n v="60"/>
    <n v="9"/>
    <n v="405"/>
    <n v="0"/>
    <n v="0"/>
    <n v="0"/>
    <n v="0"/>
    <n v="315"/>
    <n v="0"/>
    <n v="0"/>
    <n v="452000"/>
    <n v="150666.66666666666"/>
    <n v="0"/>
    <n v="2034000"/>
    <n v="201140"/>
    <n v="0"/>
    <n v="0"/>
    <n v="402280"/>
    <n v="134093.33333333331"/>
    <n v="0"/>
    <n v="1810260"/>
    <x v="0"/>
    <n v="0"/>
    <n v="0"/>
    <n v="0"/>
    <n v="0"/>
  </r>
  <r>
    <n v="703"/>
    <x v="4"/>
    <s v="P6000228"/>
    <s v="D T PURE EPSOMSALT FRAGRANCE FREE"/>
    <x v="2"/>
    <n v="247000"/>
    <n v="3"/>
    <n v="0"/>
    <n v="3"/>
    <n v="15"/>
    <n v="0"/>
    <n v="0"/>
    <n v="0"/>
    <n v="0"/>
    <n v="0"/>
    <n v="4"/>
    <n v="60"/>
    <n v="15"/>
    <n v="150"/>
    <n v="0"/>
    <n v="0"/>
    <n v="0"/>
    <n v="0"/>
    <n v="150"/>
    <n v="0"/>
    <n v="741000"/>
    <n v="0"/>
    <n v="741000"/>
    <n v="0"/>
    <n v="3705000"/>
    <n v="219830"/>
    <n v="0"/>
    <n v="659490"/>
    <n v="0"/>
    <n v="659490"/>
    <n v="0"/>
    <n v="3297450"/>
    <x v="0"/>
    <n v="0"/>
    <n v="0"/>
    <n v="0"/>
    <n v="0"/>
  </r>
  <r>
    <n v="704"/>
    <x v="4"/>
    <s v="P6000229"/>
    <s v="D T FOAMINGBATH SLEEP BATH"/>
    <x v="2"/>
    <n v="226000"/>
    <n v="6.00000000000004"/>
    <n v="6"/>
    <n v="7"/>
    <n v="24"/>
    <n v="0"/>
    <n v="0"/>
    <n v="0"/>
    <n v="0"/>
    <n v="0"/>
    <n v="12"/>
    <n v="60"/>
    <n v="24"/>
    <n v="102.85714285714285"/>
    <n v="0"/>
    <n v="0"/>
    <n v="0"/>
    <n v="0"/>
    <n v="77.142857142857153"/>
    <n v="0"/>
    <n v="1356000.0000000091"/>
    <n v="1356000"/>
    <n v="1582000"/>
    <n v="0"/>
    <n v="5424000"/>
    <n v="201140"/>
    <n v="0"/>
    <n v="1206840.0000000081"/>
    <n v="1206840"/>
    <n v="1407980"/>
    <n v="0"/>
    <n v="4827360"/>
    <x v="0"/>
    <n v="0"/>
    <n v="0"/>
    <n v="0"/>
    <n v="0"/>
  </r>
  <r>
    <n v="705"/>
    <x v="4"/>
    <s v="P6000230"/>
    <s v="D T FOAMINGBATH COMFORT &amp; CALM"/>
    <x v="2"/>
    <n v="226000"/>
    <n v="0"/>
    <n v="0"/>
    <n v="0"/>
    <n v="0"/>
    <n v="0"/>
    <n v="0"/>
    <n v="0"/>
    <n v="0"/>
    <n v="0"/>
    <n v="12"/>
    <n v="60"/>
    <n v="0"/>
    <n v="0"/>
    <n v="0"/>
    <n v="0"/>
    <n v="0"/>
    <n v="0"/>
    <n v="0"/>
    <n v="0"/>
    <n v="0"/>
    <n v="0"/>
    <n v="0"/>
    <n v="0"/>
    <n v="0"/>
    <n v="201140"/>
    <n v="0"/>
    <n v="0"/>
    <n v="0"/>
    <n v="0"/>
    <n v="0"/>
    <n v="0"/>
    <x v="0"/>
    <n v="0"/>
    <n v="0"/>
    <n v="0"/>
    <n v="0"/>
  </r>
  <r>
    <n v="706"/>
    <x v="4"/>
    <s v="P6000231"/>
    <s v="D T FOAMINGBATH GLOW &amp; RADIANCE"/>
    <x v="2"/>
    <n v="226000"/>
    <n v="8.3333333333333695"/>
    <n v="6"/>
    <n v="9.6666666666666661"/>
    <n v="30"/>
    <n v="0"/>
    <n v="0"/>
    <n v="0"/>
    <n v="0"/>
    <n v="0"/>
    <n v="12"/>
    <n v="60"/>
    <n v="30"/>
    <n v="93.103448275862064"/>
    <n v="0"/>
    <n v="0"/>
    <n v="0"/>
    <n v="0"/>
    <n v="74.482758620689651"/>
    <n v="0"/>
    <n v="1883333.3333333414"/>
    <n v="1356000"/>
    <n v="2184666.6666666665"/>
    <n v="0"/>
    <n v="6780000"/>
    <n v="201140"/>
    <n v="0"/>
    <n v="1676166.666666674"/>
    <n v="1206840"/>
    <n v="1944353.3333333333"/>
    <n v="0"/>
    <n v="6034200"/>
    <x v="0"/>
    <n v="0"/>
    <n v="0"/>
    <n v="0"/>
    <n v="0"/>
  </r>
  <r>
    <n v="707"/>
    <x v="4"/>
    <s v="P6000232"/>
    <s v="D T SHEASUGAR SCRUB SLEEP SCRUB"/>
    <x v="2"/>
    <n v="383000"/>
    <n v="2.0000000000000302"/>
    <n v="2"/>
    <n v="4.333333333333333"/>
    <n v="41"/>
    <n v="0"/>
    <n v="0"/>
    <n v="0"/>
    <n v="0"/>
    <n v="0"/>
    <n v="12"/>
    <n v="60"/>
    <n v="41"/>
    <n v="283.84615384615387"/>
    <n v="0"/>
    <n v="0"/>
    <n v="0"/>
    <n v="0"/>
    <n v="270"/>
    <n v="0"/>
    <n v="766000.00000001153"/>
    <n v="766000"/>
    <n v="1659666.6666666665"/>
    <n v="0"/>
    <n v="15703000"/>
    <n v="340870"/>
    <n v="0"/>
    <n v="681740.00000001024"/>
    <n v="681740"/>
    <n v="1477103.3333333333"/>
    <n v="0"/>
    <n v="13975670"/>
    <x v="0"/>
    <n v="0"/>
    <n v="0"/>
    <n v="0"/>
    <n v="0"/>
  </r>
  <r>
    <n v="708"/>
    <x v="4"/>
    <s v="P6000233"/>
    <s v="D T SHEASUGAR SCRUB BUTTER&amp;ALMOND"/>
    <x v="2"/>
    <n v="383000"/>
    <n v="-1.3333333333333"/>
    <n v="0"/>
    <n v="-0.66666666666666663"/>
    <n v="36"/>
    <n v="0"/>
    <n v="0"/>
    <n v="0"/>
    <n v="0"/>
    <n v="0"/>
    <n v="12"/>
    <n v="60"/>
    <n v="36"/>
    <n v="9999"/>
    <n v="0"/>
    <n v="0"/>
    <n v="0"/>
    <n v="0"/>
    <n v="9999"/>
    <n v="0"/>
    <n v="-510666.66666665388"/>
    <n v="0"/>
    <n v="-255333.33333333331"/>
    <n v="0"/>
    <n v="13788000"/>
    <n v="340870"/>
    <n v="0"/>
    <n v="-454493.33333332196"/>
    <n v="0"/>
    <n v="-227246.66666666666"/>
    <n v="0"/>
    <n v="12271320"/>
    <x v="0"/>
    <n v="0"/>
    <n v="0"/>
    <n v="0"/>
    <n v="0"/>
  </r>
  <r>
    <n v="709"/>
    <x v="4"/>
    <s v="P6000234"/>
    <s v="D T SHEASUGAR SCRUB ROSE ESSENTIAL"/>
    <x v="2"/>
    <n v="383000"/>
    <n v="-2.0000000000000302"/>
    <n v="0"/>
    <n v="-0.33333333333333331"/>
    <n v="20"/>
    <n v="0"/>
    <n v="0"/>
    <n v="0"/>
    <n v="0"/>
    <n v="0"/>
    <n v="12"/>
    <n v="60"/>
    <n v="20"/>
    <n v="9999"/>
    <n v="0"/>
    <n v="0"/>
    <n v="0"/>
    <n v="0"/>
    <n v="9999"/>
    <n v="0"/>
    <n v="-766000.00000001153"/>
    <n v="0"/>
    <n v="-127666.66666666666"/>
    <n v="0"/>
    <n v="7660000"/>
    <n v="340870"/>
    <n v="0"/>
    <n v="-681740.00000001024"/>
    <n v="0"/>
    <n v="-113623.33333333333"/>
    <n v="0"/>
    <n v="6817400"/>
    <x v="0"/>
    <n v="0"/>
    <n v="0"/>
    <n v="0"/>
    <n v="0"/>
  </r>
  <r>
    <n v="710"/>
    <x v="4"/>
    <s v="P6000236"/>
    <s v="D T SHEASUGAR SCRUB PREBIO LEMON"/>
    <x v="2"/>
    <n v="383000"/>
    <n v="4.0000000000000302"/>
    <n v="2"/>
    <n v="5.333333333333333"/>
    <n v="12"/>
    <n v="0"/>
    <n v="0"/>
    <n v="0"/>
    <n v="0"/>
    <n v="0"/>
    <n v="12"/>
    <n v="60"/>
    <n v="12"/>
    <n v="67.5"/>
    <n v="0.66666666666666607"/>
    <n v="0"/>
    <n v="0"/>
    <n v="0"/>
    <n v="56.25"/>
    <n v="0"/>
    <n v="1532000.0000000116"/>
    <n v="766000"/>
    <n v="2042666.6666666665"/>
    <n v="0"/>
    <n v="4596000"/>
    <n v="340870"/>
    <n v="0"/>
    <n v="1363480.0000000102"/>
    <n v="681740"/>
    <n v="1817973.3333333333"/>
    <n v="0"/>
    <n v="4090440"/>
    <x v="0"/>
    <n v="0"/>
    <n v="0"/>
    <n v="0"/>
    <n v="0"/>
  </r>
  <r>
    <n v="711"/>
    <x v="4"/>
    <s v="P6000237"/>
    <s v="MOTHERLOVE NAT WASH BTL CLEAN100ML"/>
    <x v="2"/>
    <n v="31000"/>
    <n v="24.66666666666671"/>
    <n v="31"/>
    <n v="25.333333333333332"/>
    <n v="65"/>
    <n v="60"/>
    <n v="0"/>
    <n v="111"/>
    <n v="0"/>
    <n v="0"/>
    <n v="48"/>
    <n v="60"/>
    <n v="236"/>
    <n v="279.4736842105263"/>
    <n v="0"/>
    <n v="0"/>
    <n v="0"/>
    <n v="0"/>
    <n v="242.76315789473688"/>
    <n v="0"/>
    <n v="764666.66666666802"/>
    <n v="961000"/>
    <n v="785333.33333333326"/>
    <n v="0"/>
    <n v="7316000"/>
    <n v="27125"/>
    <n v="0"/>
    <n v="669083.33333333454"/>
    <n v="840875"/>
    <n v="687166.66666666663"/>
    <n v="0"/>
    <n v="6401500"/>
    <x v="0"/>
    <n v="0"/>
    <n v="0"/>
    <n v="0"/>
    <n v="0"/>
  </r>
  <r>
    <n v="712"/>
    <x v="4"/>
    <s v="P6000238"/>
    <s v="MOTHERLOVE NAT WASH BTL CLEAN500ML"/>
    <x v="2"/>
    <n v="91000"/>
    <n v="84.333333333334295"/>
    <n v="95"/>
    <n v="100.00000000000001"/>
    <n v="47"/>
    <n v="5"/>
    <n v="19"/>
    <n v="0"/>
    <n v="0"/>
    <n v="156"/>
    <n v="12"/>
    <n v="60"/>
    <n v="52"/>
    <n v="15.599999999999998"/>
    <n v="243"/>
    <n v="175"/>
    <n v="182.25"/>
    <n v="180"/>
    <n v="41.099999999999994"/>
    <n v="16380000"/>
    <n v="7674333.3333334206"/>
    <n v="8645000"/>
    <n v="9100000.0000000019"/>
    <n v="0"/>
    <n v="4732000"/>
    <n v="79625"/>
    <n v="14332500"/>
    <n v="6715041.6666667433"/>
    <n v="7564375"/>
    <n v="7962500.0000000009"/>
    <n v="0"/>
    <n v="4140500"/>
    <x v="0"/>
    <n v="5"/>
    <n v="0"/>
    <n v="0"/>
    <n v="0"/>
  </r>
  <r>
    <n v="713"/>
    <x v="4"/>
    <s v="P6000239"/>
    <s v="MOTHERLOVE TENDERTOUCH DETER100ML"/>
    <x v="2"/>
    <n v="33000"/>
    <n v="5.6666666666666394"/>
    <n v="15"/>
    <n v="8.6666666666666679"/>
    <n v="144"/>
    <n v="0"/>
    <n v="0"/>
    <n v="0"/>
    <n v="0"/>
    <n v="0"/>
    <n v="48"/>
    <n v="60"/>
    <n v="144"/>
    <n v="498.4615384615384"/>
    <n v="0"/>
    <n v="0"/>
    <n v="0"/>
    <n v="0"/>
    <n v="446.53846153846149"/>
    <n v="0"/>
    <n v="186999.9999999991"/>
    <n v="495000"/>
    <n v="286000.00000000006"/>
    <n v="0"/>
    <n v="4752000"/>
    <n v="28875"/>
    <n v="0"/>
    <n v="163624.99999999921"/>
    <n v="433125"/>
    <n v="250250.00000000003"/>
    <n v="0"/>
    <n v="4158000"/>
    <x v="0"/>
    <n v="0"/>
    <n v="0"/>
    <n v="0"/>
    <n v="0"/>
  </r>
  <r>
    <n v="714"/>
    <x v="4"/>
    <s v="P6000240"/>
    <s v="MOTHERLOVE TENDERTOUCH DETER900ML"/>
    <x v="2"/>
    <n v="77000"/>
    <n v="140.33333333333351"/>
    <n v="169.6"/>
    <n v="160.8666666666667"/>
    <n v="214"/>
    <n v="96"/>
    <n v="0"/>
    <n v="0"/>
    <n v="4"/>
    <n v="96"/>
    <n v="12"/>
    <n v="60"/>
    <n v="310"/>
    <n v="57.811852465810183"/>
    <n v="177.33333333333337"/>
    <n v="92"/>
    <n v="133.00000000000003"/>
    <n v="132"/>
    <n v="51.545793617903009"/>
    <n v="10164000"/>
    <n v="10805666.666666681"/>
    <n v="13059200"/>
    <n v="12386733.333333336"/>
    <n v="308000"/>
    <n v="23870000"/>
    <n v="67375"/>
    <n v="8893500"/>
    <n v="9454958.3333333451"/>
    <n v="11426800"/>
    <n v="10838391.66666667"/>
    <n v="269500"/>
    <n v="20886250"/>
    <x v="0"/>
    <n v="40"/>
    <n v="0"/>
    <n v="0"/>
    <n v="0"/>
  </r>
  <r>
    <n v="715"/>
    <x v="4"/>
    <s v="P6000241"/>
    <s v="MSL STELATOPIA+EMOLLIENT CREAM150ML"/>
    <x v="3"/>
    <n v="385000"/>
    <n v="166.33333333333337"/>
    <n v="220"/>
    <n v="173.99999999999997"/>
    <n v="70"/>
    <n v="54"/>
    <n v="36"/>
    <n v="0"/>
    <n v="0"/>
    <n v="310"/>
    <n v="10"/>
    <n v="60"/>
    <n v="124"/>
    <n v="21.379310344827591"/>
    <n v="444"/>
    <n v="346"/>
    <n v="333"/>
    <n v="330"/>
    <n v="40.344827586206904"/>
    <n v="127050000"/>
    <n v="64038333.333333351"/>
    <n v="84700000"/>
    <n v="66989999.999999993"/>
    <n v="0"/>
    <n v="47740000"/>
    <n v="342650"/>
    <n v="113074500"/>
    <n v="56994116.666666679"/>
    <n v="75383000"/>
    <n v="59621099.999999993"/>
    <n v="0"/>
    <n v="42488600"/>
    <x v="0"/>
    <n v="-16"/>
    <n v="0"/>
    <n v="0"/>
    <n v="0"/>
  </r>
  <r>
    <n v="716"/>
    <x v="4"/>
    <s v="P6000242"/>
    <s v="MSL STELATOPIA+EMOLLIENT CREAM300ML"/>
    <x v="3"/>
    <n v="610000"/>
    <n v="48.666666666666607"/>
    <n v="70"/>
    <n v="60.666666666666664"/>
    <n v="245"/>
    <n v="30"/>
    <n v="0"/>
    <n v="0"/>
    <n v="0"/>
    <n v="20"/>
    <n v="10"/>
    <n v="60"/>
    <n v="275"/>
    <n v="135.98901098901098"/>
    <n v="0"/>
    <n v="20"/>
    <n v="0"/>
    <n v="0"/>
    <n v="101.37362637362638"/>
    <n v="0"/>
    <n v="29686666.666666631"/>
    <n v="42700000"/>
    <n v="37006666.666666664"/>
    <n v="0"/>
    <n v="167750000"/>
    <n v="542900"/>
    <n v="0"/>
    <n v="26421133.333333302"/>
    <n v="38003000"/>
    <n v="32935933.333333332"/>
    <n v="0"/>
    <n v="149297500"/>
    <x v="0"/>
    <n v="-20"/>
    <n v="0"/>
    <n v="0"/>
    <n v="0"/>
  </r>
  <r>
    <n v="717"/>
    <x v="4"/>
    <s v="P6000250"/>
    <s v="MOTHERLOVE COOL COMFORT OIL 10ML"/>
    <x v="2"/>
    <n v="68000"/>
    <n v="116.6666666666669"/>
    <n v="128"/>
    <n v="127.33333333333333"/>
    <n v="274"/>
    <n v="0"/>
    <n v="0"/>
    <n v="0"/>
    <n v="0"/>
    <n v="96"/>
    <n v="32"/>
    <n v="60"/>
    <n v="274"/>
    <n v="64.554973821989535"/>
    <n v="108.66666666666663"/>
    <n v="96"/>
    <n v="96"/>
    <n v="96"/>
    <n v="57.015706806282722"/>
    <n v="6528000"/>
    <n v="7933333.3333333489"/>
    <n v="8704000"/>
    <n v="8658666.666666666"/>
    <n v="0"/>
    <n v="18632000"/>
    <n v="59500"/>
    <n v="5712000"/>
    <n v="6941666.66666668"/>
    <n v="7616000"/>
    <n v="7576333.333333333"/>
    <n v="0"/>
    <n v="16303000"/>
    <x v="0"/>
    <n v="0"/>
    <n v="0"/>
    <n v="0"/>
    <n v="0"/>
  </r>
  <r>
    <n v="718"/>
    <x v="4"/>
    <s v="P6000251"/>
    <s v="MOTHERLOVE EAZY BABY OIL 10ML"/>
    <x v="2"/>
    <n v="68000"/>
    <n v="38.333333333333343"/>
    <n v="48"/>
    <n v="41.666666666666664"/>
    <n v="403"/>
    <n v="0"/>
    <n v="0"/>
    <n v="0"/>
    <n v="0"/>
    <n v="0"/>
    <n v="32"/>
    <n v="60"/>
    <n v="403"/>
    <n v="290.16000000000003"/>
    <n v="0"/>
    <n v="0"/>
    <n v="0"/>
    <n v="0"/>
    <n v="255.60000000000005"/>
    <n v="0"/>
    <n v="2606666.6666666674"/>
    <n v="3264000"/>
    <n v="2833333.333333333"/>
    <n v="0"/>
    <n v="27404000"/>
    <n v="59500"/>
    <n v="0"/>
    <n v="2280833.333333334"/>
    <n v="2856000"/>
    <n v="2479166.6666666665"/>
    <n v="0"/>
    <n v="23978500"/>
    <x v="0"/>
    <n v="0"/>
    <n v="0"/>
    <n v="0"/>
    <n v="0"/>
  </r>
  <r>
    <n v="719"/>
    <x v="4"/>
    <s v="P6000252"/>
    <s v="MOTHERLOVE  MOTION MASTER OIL 10ML"/>
    <x v="2"/>
    <n v="68000"/>
    <n v="31.666666666666671"/>
    <n v="28"/>
    <n v="36"/>
    <n v="367"/>
    <n v="0"/>
    <n v="0"/>
    <n v="0"/>
    <n v="0"/>
    <n v="32"/>
    <n v="32"/>
    <n v="60"/>
    <n v="367"/>
    <n v="305.83333333333331"/>
    <n v="0"/>
    <n v="32"/>
    <n v="0"/>
    <n v="0"/>
    <n v="282.5"/>
    <n v="0"/>
    <n v="2153333.3333333335"/>
    <n v="1904000"/>
    <n v="2448000"/>
    <n v="0"/>
    <n v="24956000"/>
    <n v="59500"/>
    <n v="0"/>
    <n v="1884166.666666667"/>
    <n v="1666000"/>
    <n v="2142000"/>
    <n v="0"/>
    <n v="21836500"/>
    <x v="0"/>
    <n v="-32"/>
    <n v="0"/>
    <n v="0"/>
    <n v="0"/>
  </r>
  <r>
    <n v="720"/>
    <x v="4"/>
    <s v="P6000257"/>
    <s v="MOTHERLOVE  CALMING CREAM W+ 30GR"/>
    <x v="2"/>
    <n v="95000"/>
    <n v="160.99999999999932"/>
    <n v="171.2"/>
    <n v="164.06666666666663"/>
    <n v="502"/>
    <n v="48"/>
    <n v="0"/>
    <n v="36"/>
    <n v="0"/>
    <n v="144"/>
    <n v="48"/>
    <n v="60"/>
    <n v="586"/>
    <n v="107.15156440471355"/>
    <n v="0"/>
    <n v="108"/>
    <n v="0"/>
    <n v="0"/>
    <n v="75.847216578626586"/>
    <n v="0"/>
    <n v="15294999.999999935"/>
    <n v="16263999.999999998"/>
    <n v="15586333.33333333"/>
    <n v="0"/>
    <n v="55670000"/>
    <n v="83125"/>
    <n v="0"/>
    <n v="13383124.999999944"/>
    <n v="14230999.999999998"/>
    <n v="13638041.666666664"/>
    <n v="0"/>
    <n v="48711250"/>
    <x v="0"/>
    <n v="-108"/>
    <n v="0"/>
    <n v="0"/>
    <n v="0"/>
  </r>
  <r>
    <n v="721"/>
    <x v="4"/>
    <s v="P6000262"/>
    <s v="F STAGE 3 TRAINING TOOTHBRUSH BLUE"/>
    <x v="2"/>
    <n v="90000"/>
    <n v="6.99999999999996"/>
    <n v="6"/>
    <n v="6.333333333333333"/>
    <n v="155"/>
    <n v="0"/>
    <n v="0"/>
    <n v="0"/>
    <n v="0"/>
    <n v="0"/>
    <n v="12"/>
    <n v="60"/>
    <n v="155"/>
    <n v="734.21052631578959"/>
    <n v="0"/>
    <n v="0"/>
    <n v="0"/>
    <n v="0"/>
    <n v="705.78947368421052"/>
    <n v="0"/>
    <n v="629999.99999999639"/>
    <n v="540000"/>
    <n v="570000"/>
    <n v="0"/>
    <n v="13950000"/>
    <n v="80100"/>
    <n v="0"/>
    <n v="560699.99999999674"/>
    <n v="480600"/>
    <n v="507300"/>
    <n v="0"/>
    <n v="12415500"/>
    <x v="0"/>
    <n v="0"/>
    <n v="0"/>
    <n v="0"/>
    <n v="0"/>
  </r>
  <r>
    <n v="722"/>
    <x v="4"/>
    <s v="P6000263"/>
    <s v="FARLIN DISPOSABLE FLOSS PICKS"/>
    <x v="2"/>
    <n v="55400"/>
    <n v="4.3333333333333002"/>
    <n v="7"/>
    <n v="5.666666666666667"/>
    <n v="130"/>
    <n v="0"/>
    <n v="0"/>
    <n v="15"/>
    <n v="0"/>
    <n v="0"/>
    <n v="24"/>
    <n v="60"/>
    <n v="145"/>
    <n v="767.64705882352939"/>
    <n v="0"/>
    <n v="0"/>
    <n v="0"/>
    <n v="0"/>
    <n v="730.58823529411757"/>
    <n v="0"/>
    <n v="240066.66666666482"/>
    <n v="387800"/>
    <n v="313933.33333333337"/>
    <n v="0"/>
    <n v="8033000"/>
    <n v="49306"/>
    <n v="0"/>
    <n v="213659.33333333168"/>
    <n v="345142"/>
    <n v="279400.66666666669"/>
    <n v="0"/>
    <n v="7149370"/>
    <x v="0"/>
    <n v="0"/>
    <n v="0"/>
    <n v="0"/>
    <n v="0"/>
  </r>
  <r>
    <n v="723"/>
    <x v="4"/>
    <s v="P6000264"/>
    <s v="MTL 3N1 HAIR LTN COTTON CLOUD100ML"/>
    <x v="2"/>
    <n v="67000"/>
    <n v="112.99999999999933"/>
    <n v="137"/>
    <n v="121.33333333333334"/>
    <n v="407"/>
    <n v="48"/>
    <n v="24"/>
    <n v="0"/>
    <n v="0"/>
    <n v="36"/>
    <n v="36"/>
    <n v="60"/>
    <n v="455"/>
    <n v="112.49999999999999"/>
    <n v="0"/>
    <n v="60"/>
    <n v="0"/>
    <n v="0"/>
    <n v="78.626373626373621"/>
    <n v="0"/>
    <n v="7570999.9999999553"/>
    <n v="9179000"/>
    <n v="8129333.333333334"/>
    <n v="0"/>
    <n v="30485000"/>
    <n v="58625"/>
    <n v="0"/>
    <n v="6624624.9999999609"/>
    <n v="8031625"/>
    <n v="7113166.666666667"/>
    <n v="0"/>
    <n v="26674375"/>
    <x v="0"/>
    <n v="-60"/>
    <n v="0"/>
    <n v="0"/>
    <n v="0"/>
  </r>
  <r>
    <n v="724"/>
    <x v="4"/>
    <s v="P6000265"/>
    <s v="MTL 3N1 HAIR LTN GENTLE PETAL100ML"/>
    <x v="2"/>
    <n v="67000"/>
    <n v="326.33333333333428"/>
    <n v="310"/>
    <n v="387.33333333333337"/>
    <n v="417"/>
    <n v="120"/>
    <n v="0"/>
    <n v="0"/>
    <n v="0"/>
    <n v="324"/>
    <n v="36"/>
    <n v="60"/>
    <n v="537"/>
    <n v="41.592082616178999"/>
    <n v="547.66666666666674"/>
    <n v="324"/>
    <n v="410.75000000000006"/>
    <n v="396"/>
    <n v="48.253012048192765"/>
    <n v="26532000"/>
    <n v="21864333.333333395"/>
    <n v="20770000"/>
    <n v="25951333.333333336"/>
    <n v="0"/>
    <n v="35979000"/>
    <n v="58625"/>
    <n v="23215500"/>
    <n v="19131291.666666724"/>
    <n v="18173750"/>
    <n v="22707416.666666668"/>
    <n v="0"/>
    <n v="31481625"/>
    <x v="0"/>
    <n v="72"/>
    <n v="0"/>
    <n v="0"/>
    <n v="0"/>
  </r>
  <r>
    <n v="725"/>
    <x v="4"/>
    <s v="P6000266"/>
    <s v="MTL HAIR&amp;SCALP SRM SPRAY100ML NEW"/>
    <x v="2"/>
    <n v="75000"/>
    <n v="648.66666666666754"/>
    <n v="646.1"/>
    <n v="637.69999999999993"/>
    <n v="838"/>
    <n v="258"/>
    <n v="0"/>
    <n v="0"/>
    <n v="0"/>
    <n v="540"/>
    <n v="36"/>
    <n v="60"/>
    <n v="1096"/>
    <n v="51.560294809471543"/>
    <n v="825.5"/>
    <n v="540"/>
    <n v="619.125"/>
    <n v="612"/>
    <n v="49.956092206366641"/>
    <n v="45900000"/>
    <n v="48650000.000000067"/>
    <n v="48457500"/>
    <n v="47827499.999999993"/>
    <n v="0"/>
    <n v="82200000"/>
    <n v="65625"/>
    <n v="40162500"/>
    <n v="42568750.00000006"/>
    <n v="42400312.5"/>
    <n v="41849062.499999993"/>
    <n v="0"/>
    <n v="71925000"/>
    <x v="0"/>
    <n v="72"/>
    <n v="0"/>
    <n v="0"/>
    <n v="0"/>
  </r>
  <r>
    <n v="726"/>
    <x v="4"/>
    <s v="P6000268"/>
    <s v="F STAGE 3 TRAINING TOOTHBRUSH PINK"/>
    <x v="2"/>
    <n v="90000"/>
    <n v="4.6666666666666998"/>
    <n v="6"/>
    <n v="3.333333333333333"/>
    <n v="195"/>
    <n v="0"/>
    <n v="0"/>
    <n v="0"/>
    <n v="0"/>
    <n v="0"/>
    <n v="12"/>
    <n v="60"/>
    <n v="195"/>
    <n v="1755.0000000000002"/>
    <n v="0"/>
    <n v="0"/>
    <n v="0"/>
    <n v="0"/>
    <n v="1701"/>
    <n v="0"/>
    <n v="420000.00000000297"/>
    <n v="540000"/>
    <n v="300000"/>
    <n v="0"/>
    <n v="17550000"/>
    <n v="80100"/>
    <n v="0"/>
    <n v="373800.00000000268"/>
    <n v="480600"/>
    <n v="267000"/>
    <n v="0"/>
    <n v="15619500"/>
    <x v="0"/>
    <n v="0"/>
    <n v="0"/>
    <n v="0"/>
    <n v="0"/>
  </r>
  <r>
    <n v="727"/>
    <x v="4"/>
    <s v="P6000271"/>
    <s v="FARLIN WIDENECK DK CUP 270ML ORANGE"/>
    <x v="2"/>
    <n v="200000"/>
    <n v="2.6666666666666701"/>
    <n v="3"/>
    <n v="3"/>
    <n v="69"/>
    <n v="0"/>
    <n v="0"/>
    <n v="0"/>
    <n v="0"/>
    <n v="6"/>
    <n v="6"/>
    <n v="60"/>
    <n v="69"/>
    <n v="690"/>
    <n v="0"/>
    <n v="6"/>
    <n v="0"/>
    <n v="0"/>
    <n v="660"/>
    <n v="0"/>
    <n v="533333.33333333407"/>
    <n v="600000"/>
    <n v="600000"/>
    <n v="0"/>
    <n v="13800000"/>
    <n v="178000"/>
    <n v="0"/>
    <n v="474666.66666666727"/>
    <n v="534000"/>
    <n v="534000"/>
    <n v="0"/>
    <n v="12282000"/>
    <x v="0"/>
    <n v="-6"/>
    <n v="0"/>
    <n v="0"/>
    <n v="0"/>
  </r>
  <r>
    <n v="728"/>
    <x v="4"/>
    <s v="P6000272"/>
    <s v="FARLIN WIDENECK DK CUP 270ML KUNING"/>
    <x v="2"/>
    <n v="200000"/>
    <n v="2"/>
    <n v="5"/>
    <n v="2.6666666666666665"/>
    <n v="60"/>
    <n v="0"/>
    <n v="0"/>
    <n v="6"/>
    <n v="0"/>
    <n v="6"/>
    <n v="6"/>
    <n v="60"/>
    <n v="66"/>
    <n v="742.5"/>
    <n v="0"/>
    <n v="0"/>
    <n v="0"/>
    <n v="0"/>
    <n v="686.25"/>
    <n v="0"/>
    <n v="400000"/>
    <n v="1000000"/>
    <n v="533333.33333333326"/>
    <n v="0"/>
    <n v="13200000"/>
    <n v="178000"/>
    <n v="0"/>
    <n v="356000"/>
    <n v="890000"/>
    <n v="474666.66666666663"/>
    <n v="0"/>
    <n v="11748000"/>
    <x v="0"/>
    <n v="0"/>
    <n v="0"/>
    <n v="0"/>
    <n v="0"/>
  </r>
  <r>
    <n v="729"/>
    <x v="4"/>
    <s v="P6000273"/>
    <s v="FARLIN WIDENECK DK CUP 270ML HIJAU"/>
    <x v="2"/>
    <n v="200000"/>
    <n v="1.6666666666666701"/>
    <n v="5"/>
    <n v="2.3333333333333335"/>
    <n v="58"/>
    <n v="0"/>
    <n v="0"/>
    <n v="0"/>
    <n v="0"/>
    <n v="0"/>
    <n v="6"/>
    <n v="60"/>
    <n v="58"/>
    <n v="745.71428571428567"/>
    <n v="0"/>
    <n v="0"/>
    <n v="0"/>
    <n v="0"/>
    <n v="681.42857142857133"/>
    <n v="0"/>
    <n v="333333.33333333401"/>
    <n v="1000000"/>
    <n v="466666.66666666669"/>
    <n v="0"/>
    <n v="11600000"/>
    <n v="178000"/>
    <n v="0"/>
    <n v="296666.66666666727"/>
    <n v="890000"/>
    <n v="415333.33333333337"/>
    <n v="0"/>
    <n v="10324000"/>
    <x v="0"/>
    <n v="0"/>
    <n v="0"/>
    <n v="0"/>
    <n v="0"/>
  </r>
  <r>
    <n v="730"/>
    <x v="4"/>
    <s v="P6000274"/>
    <s v="FARLIN STRAW TRAINING CUP 150ML-B"/>
    <x v="2"/>
    <n v="180000"/>
    <n v="0"/>
    <n v="3"/>
    <n v="1"/>
    <n v="44"/>
    <n v="0"/>
    <n v="0"/>
    <n v="0"/>
    <n v="0"/>
    <n v="0"/>
    <n v="6"/>
    <n v="60"/>
    <n v="44"/>
    <n v="1320"/>
    <n v="0"/>
    <n v="0"/>
    <n v="0"/>
    <n v="0"/>
    <n v="1230"/>
    <n v="0"/>
    <n v="0"/>
    <n v="540000"/>
    <n v="180000"/>
    <n v="0"/>
    <n v="7920000"/>
    <n v="160200"/>
    <n v="0"/>
    <n v="0"/>
    <n v="480600"/>
    <n v="160200"/>
    <n v="0"/>
    <n v="7048800"/>
    <x v="0"/>
    <n v="0"/>
    <n v="0"/>
    <n v="0"/>
    <n v="0"/>
  </r>
  <r>
    <n v="731"/>
    <x v="4"/>
    <s v="P6000275"/>
    <s v="FARLIN STRAW TRAINING CUP 150ML-G"/>
    <x v="2"/>
    <n v="180000"/>
    <n v="0"/>
    <n v="0"/>
    <n v="0"/>
    <n v="67"/>
    <n v="0"/>
    <n v="0"/>
    <n v="0"/>
    <n v="0"/>
    <n v="0"/>
    <n v="6"/>
    <n v="60"/>
    <n v="67"/>
    <n v="9999"/>
    <n v="0"/>
    <n v="0"/>
    <n v="0"/>
    <n v="0"/>
    <n v="9999"/>
    <n v="0"/>
    <n v="0"/>
    <n v="0"/>
    <n v="0"/>
    <n v="0"/>
    <n v="12060000"/>
    <n v="160200"/>
    <n v="0"/>
    <n v="0"/>
    <n v="0"/>
    <n v="0"/>
    <n v="0"/>
    <n v="10733400"/>
    <x v="0"/>
    <n v="0"/>
    <n v="0"/>
    <n v="0"/>
    <n v="0"/>
  </r>
  <r>
    <n v="732"/>
    <x v="4"/>
    <s v="P6000276"/>
    <s v="FARLIN 5 IN 1 FOOD MAKER"/>
    <x v="2"/>
    <n v="185000"/>
    <n v="4.6666666666666998"/>
    <n v="9"/>
    <n v="7.6666666666666661"/>
    <n v="29"/>
    <n v="0"/>
    <n v="0"/>
    <n v="0"/>
    <n v="0"/>
    <n v="0"/>
    <n v="6"/>
    <n v="60"/>
    <n v="29"/>
    <n v="113.47826086956523"/>
    <n v="0"/>
    <n v="0"/>
    <n v="0"/>
    <n v="0"/>
    <n v="78.260869565217391"/>
    <n v="0"/>
    <n v="863333.33333333943"/>
    <n v="1665000"/>
    <n v="1418333.3333333333"/>
    <n v="0"/>
    <n v="5365000"/>
    <n v="164650"/>
    <n v="0"/>
    <n v="768366.6666666721"/>
    <n v="1481850"/>
    <n v="1262316.6666666665"/>
    <n v="0"/>
    <n v="4774850"/>
    <x v="0"/>
    <n v="0"/>
    <n v="0"/>
    <n v="0"/>
    <n v="0"/>
  </r>
  <r>
    <n v="733"/>
    <x v="4"/>
    <s v="P6000277"/>
    <s v="MOTHERLOVE CLEANSER TRAVEL KIT"/>
    <x v="2"/>
    <n v="58000"/>
    <n v="8.9999999999999698"/>
    <n v="11"/>
    <n v="12.666666666666666"/>
    <n v="0"/>
    <n v="14"/>
    <n v="0"/>
    <n v="28"/>
    <n v="0"/>
    <n v="0"/>
    <n v="14"/>
    <n v="60"/>
    <n v="42"/>
    <n v="99.473684210526315"/>
    <n v="0"/>
    <n v="0"/>
    <n v="0"/>
    <n v="0"/>
    <n v="73.421052631578959"/>
    <n v="0"/>
    <n v="521999.99999999825"/>
    <n v="638000"/>
    <n v="734666.66666666663"/>
    <n v="0"/>
    <n v="2436000"/>
    <n v="50750"/>
    <n v="0"/>
    <n v="456749.99999999849"/>
    <n v="558250"/>
    <n v="642833.33333333326"/>
    <n v="0"/>
    <n v="2131500"/>
    <x v="0"/>
    <n v="0"/>
    <n v="0"/>
    <n v="0"/>
    <n v="0"/>
  </r>
  <r>
    <n v="734"/>
    <x v="4"/>
    <s v="P6000278"/>
    <s v="FARLIN SILICONE BRUSH SET-CARAMEL"/>
    <x v="2"/>
    <n v="120000"/>
    <n v="15.000000000000069"/>
    <n v="14"/>
    <n v="17"/>
    <n v="60"/>
    <n v="0"/>
    <n v="0"/>
    <n v="6"/>
    <n v="0"/>
    <n v="18"/>
    <n v="18"/>
    <n v="60"/>
    <n v="66"/>
    <n v="116.47058823529412"/>
    <n v="0"/>
    <n v="12"/>
    <n v="0"/>
    <n v="0"/>
    <n v="91.764705882352928"/>
    <n v="0"/>
    <n v="1800000.0000000084"/>
    <n v="1680000"/>
    <n v="2040000"/>
    <n v="0"/>
    <n v="7920000"/>
    <n v="106800"/>
    <n v="0"/>
    <n v="1602000.0000000075"/>
    <n v="1495200"/>
    <n v="1815600"/>
    <n v="0"/>
    <n v="7048800"/>
    <x v="0"/>
    <n v="-12"/>
    <n v="6"/>
    <n v="6"/>
    <n v="6"/>
  </r>
  <r>
    <n v="735"/>
    <x v="4"/>
    <s v="P6000280"/>
    <s v="SILKY PPSU FEEDBTL 150ML UNGU"/>
    <x v="2"/>
    <n v="248000"/>
    <n v="6.6666666666666998"/>
    <n v="6"/>
    <n v="8.6666666666666679"/>
    <n v="40"/>
    <n v="0"/>
    <n v="60"/>
    <n v="0"/>
    <n v="0"/>
    <n v="0"/>
    <n v="12"/>
    <n v="60"/>
    <n v="40"/>
    <n v="138.46153846153845"/>
    <n v="0"/>
    <n v="60"/>
    <n v="0"/>
    <n v="0"/>
    <n v="117.69230769230768"/>
    <n v="0"/>
    <n v="1653333.3333333416"/>
    <n v="1488000"/>
    <n v="2149333.3333333335"/>
    <n v="0"/>
    <n v="9920000"/>
    <n v="220720"/>
    <n v="0"/>
    <n v="1471466.666666674"/>
    <n v="1324320"/>
    <n v="1912906.666666667"/>
    <n v="0"/>
    <n v="8828800"/>
    <x v="0"/>
    <n v="-60"/>
    <n v="0"/>
    <n v="0"/>
    <n v="0"/>
  </r>
  <r>
    <n v="736"/>
    <x v="4"/>
    <s v="P6000281"/>
    <s v="SILKY PPSU FEEDBTL 150ML CARAMEL"/>
    <x v="2"/>
    <n v="248000"/>
    <n v="9.6666666666666998"/>
    <n v="8"/>
    <n v="7.6666666666666661"/>
    <n v="27"/>
    <n v="0"/>
    <n v="60"/>
    <n v="0"/>
    <n v="0"/>
    <n v="0"/>
    <n v="12"/>
    <n v="60"/>
    <n v="27"/>
    <n v="105.65217391304348"/>
    <n v="0"/>
    <n v="60"/>
    <n v="0"/>
    <n v="0"/>
    <n v="74.34782608695653"/>
    <n v="0"/>
    <n v="2397333.3333333414"/>
    <n v="1984000"/>
    <n v="1901333.3333333333"/>
    <n v="0"/>
    <n v="6696000"/>
    <n v="220720"/>
    <n v="0"/>
    <n v="2133626.666666674"/>
    <n v="1765760"/>
    <n v="1692186.6666666665"/>
    <n v="0"/>
    <n v="5959440"/>
    <x v="0"/>
    <n v="-60"/>
    <n v="0"/>
    <n v="0"/>
    <n v="0"/>
  </r>
  <r>
    <n v="737"/>
    <x v="4"/>
    <s v="P6000282"/>
    <s v="SILKY PPSU FEEDBTL W H270ML ORANGE"/>
    <x v="2"/>
    <n v="289000"/>
    <n v="5.3333333333333695"/>
    <n v="4"/>
    <n v="6.333333333333333"/>
    <n v="50"/>
    <n v="0"/>
    <n v="0"/>
    <n v="0"/>
    <n v="0"/>
    <n v="0"/>
    <n v="9"/>
    <n v="60"/>
    <n v="50"/>
    <n v="236.84210526315792"/>
    <n v="0"/>
    <n v="0"/>
    <n v="0"/>
    <n v="0"/>
    <n v="217.89473684210526"/>
    <n v="0"/>
    <n v="1541333.3333333437"/>
    <n v="1156000"/>
    <n v="1830333.3333333333"/>
    <n v="0"/>
    <n v="14450000"/>
    <n v="257210"/>
    <n v="0"/>
    <n v="1371786.6666666761"/>
    <n v="1028840"/>
    <n v="1628996.6666666665"/>
    <n v="0"/>
    <n v="12860500"/>
    <x v="0"/>
    <n v="0"/>
    <n v="0"/>
    <n v="0"/>
    <n v="0"/>
  </r>
  <r>
    <n v="738"/>
    <x v="4"/>
    <s v="P6000283"/>
    <s v="SILKY PPSU FEEDBTL W H270ML UNGU"/>
    <x v="2"/>
    <n v="289000"/>
    <n v="1.3333333333333299"/>
    <n v="3"/>
    <n v="2.3333333333333335"/>
    <n v="31"/>
    <n v="0"/>
    <n v="0"/>
    <n v="0"/>
    <n v="0"/>
    <n v="9"/>
    <n v="9"/>
    <n v="60"/>
    <n v="31"/>
    <n v="398.57142857142856"/>
    <n v="0"/>
    <n v="9"/>
    <n v="0"/>
    <n v="0"/>
    <n v="360"/>
    <n v="0"/>
    <n v="385333.33333333232"/>
    <n v="867000"/>
    <n v="674333.33333333337"/>
    <n v="0"/>
    <n v="8959000"/>
    <n v="257210"/>
    <n v="0"/>
    <n v="342946.66666666581"/>
    <n v="771630"/>
    <n v="600156.66666666674"/>
    <n v="0"/>
    <n v="7973510"/>
    <x v="0"/>
    <n v="-9"/>
    <n v="0"/>
    <n v="0"/>
    <n v="0"/>
  </r>
  <r>
    <n v="739"/>
    <x v="4"/>
    <s v="P6000314"/>
    <s v="MOTHERLOVE LIT TOOTH&amp;GUM WIPES 30S"/>
    <x v="2"/>
    <n v="32000"/>
    <n v="415"/>
    <n v="452"/>
    <n v="448.33333333333337"/>
    <n v="9874"/>
    <n v="55"/>
    <n v="0"/>
    <n v="1800"/>
    <n v="0"/>
    <n v="432"/>
    <n v="12"/>
    <n v="60"/>
    <n v="11729"/>
    <n v="784.84014869888472"/>
    <n v="0"/>
    <n v="0"/>
    <n v="0"/>
    <n v="0"/>
    <n v="754.59479553903338"/>
    <n v="0"/>
    <n v="13280000"/>
    <n v="14464000"/>
    <n v="14346666.666666668"/>
    <n v="0"/>
    <n v="375328000"/>
    <n v="28480"/>
    <n v="0"/>
    <n v="11819200"/>
    <n v="12872960"/>
    <n v="12768533.333333334"/>
    <n v="0"/>
    <n v="334041920"/>
    <x v="0"/>
    <n v="0"/>
    <n v="0"/>
    <n v="0"/>
    <n v="0"/>
  </r>
  <r>
    <n v="740"/>
    <x v="4"/>
    <s v="P6000315"/>
    <s v="FL GNB LPOPS ORAL SET FRT POP-PINK"/>
    <x v="2"/>
    <n v="124000"/>
    <n v="0"/>
    <n v="0"/>
    <n v="0"/>
    <n v="22"/>
    <n v="0"/>
    <n v="0"/>
    <n v="0"/>
    <n v="0"/>
    <n v="0"/>
    <n v="6"/>
    <n v="60"/>
    <n v="22"/>
    <n v="9999"/>
    <n v="0"/>
    <n v="0"/>
    <n v="0"/>
    <n v="0"/>
    <n v="9999"/>
    <n v="0"/>
    <n v="0"/>
    <n v="0"/>
    <n v="0"/>
    <n v="0"/>
    <n v="2728000"/>
    <n v="110360"/>
    <n v="0"/>
    <n v="0"/>
    <n v="0"/>
    <n v="0"/>
    <n v="0"/>
    <n v="2427920"/>
    <x v="0"/>
    <n v="0"/>
    <n v="0"/>
    <n v="0"/>
    <n v="0"/>
  </r>
  <r>
    <n v="741"/>
    <x v="4"/>
    <s v="P6000383"/>
    <s v="MOTHERLOVE PRICKLE CREAM 30GR"/>
    <x v="4"/>
    <n v="65000"/>
    <n v="136.99999999999937"/>
    <n v="104"/>
    <n v="122.00000000000001"/>
    <n v="414"/>
    <n v="0"/>
    <n v="0"/>
    <n v="0"/>
    <n v="0"/>
    <n v="120"/>
    <n v="15"/>
    <n v="60"/>
    <n v="414"/>
    <n v="101.80327868852457"/>
    <n v="0"/>
    <n v="120"/>
    <n v="0"/>
    <n v="0"/>
    <n v="76.229508196721298"/>
    <n v="0"/>
    <n v="8904999.999999959"/>
    <n v="6760000"/>
    <n v="7930000.0000000009"/>
    <n v="0"/>
    <n v="26910000"/>
    <n v="56875"/>
    <n v="0"/>
    <n v="7791874.9999999646"/>
    <n v="5915000"/>
    <n v="6938750.0000000009"/>
    <n v="0"/>
    <n v="23546250"/>
    <x v="0"/>
    <n v="-120"/>
    <n v="0"/>
    <n v="0"/>
    <n v="0"/>
  </r>
  <r>
    <n v="742"/>
    <x v="4"/>
    <s v="P6000385"/>
    <s v="MOTHERLOVE KIDS COMFORT GEL 50G"/>
    <x v="4"/>
    <n v="65000"/>
    <n v="34.000000000000099"/>
    <n v="25.05"/>
    <n v="42.349999999999994"/>
    <n v="330"/>
    <n v="0"/>
    <n v="0"/>
    <n v="0"/>
    <n v="0"/>
    <n v="24"/>
    <n v="12"/>
    <n v="60"/>
    <n v="330"/>
    <n v="233.7662337662338"/>
    <n v="0"/>
    <n v="24"/>
    <n v="0"/>
    <n v="0"/>
    <n v="216.02125147579693"/>
    <n v="0"/>
    <n v="2210000.0000000065"/>
    <n v="1628250"/>
    <n v="2752749.9999999995"/>
    <n v="0"/>
    <n v="21450000"/>
    <n v="56875"/>
    <n v="0"/>
    <n v="1933750.0000000056"/>
    <n v="1424718.75"/>
    <n v="2408656.2499999995"/>
    <n v="0"/>
    <n v="18768750"/>
    <x v="0"/>
    <n v="-24"/>
    <n v="0"/>
    <n v="0"/>
    <n v="0"/>
  </r>
  <r>
    <n v="743"/>
    <x v="4"/>
    <s v="P6000386"/>
    <s v="MOTHERLOVE NATURE BEATER LOTION 50G"/>
    <x v="4"/>
    <n v="60000"/>
    <n v="87"/>
    <n v="61.45"/>
    <n v="107.48333333333333"/>
    <n v="285"/>
    <n v="18"/>
    <n v="0"/>
    <n v="6"/>
    <n v="0"/>
    <n v="132"/>
    <n v="12"/>
    <n v="60"/>
    <n v="309"/>
    <n v="86.245929601488612"/>
    <n v="0"/>
    <n v="126"/>
    <n v="0"/>
    <n v="0"/>
    <n v="69.094433245464415"/>
    <n v="0"/>
    <n v="5220000"/>
    <n v="3687000"/>
    <n v="6449000"/>
    <n v="0"/>
    <n v="18540000"/>
    <n v="52500"/>
    <n v="0"/>
    <n v="4567500"/>
    <n v="3226125"/>
    <n v="5642875"/>
    <n v="0"/>
    <n v="16222500"/>
    <x v="0"/>
    <n v="-126"/>
    <n v="102"/>
    <n v="126"/>
    <n v="138"/>
  </r>
  <r>
    <n v="744"/>
    <x v="4"/>
    <s v="P6000387"/>
    <s v="MOTHERLOVE KIDS HAIRSTYLING GEL 30G"/>
    <x v="4"/>
    <n v="52000"/>
    <n v="66.000000000000071"/>
    <n v="43.2"/>
    <n v="80.399999999999991"/>
    <n v="343"/>
    <n v="0"/>
    <n v="0"/>
    <n v="1"/>
    <n v="0"/>
    <n v="48"/>
    <n v="12"/>
    <n v="60"/>
    <n v="344"/>
    <n v="128.35820895522389"/>
    <n v="0"/>
    <n v="47"/>
    <n v="0"/>
    <n v="0"/>
    <n v="112.23880597014927"/>
    <n v="0"/>
    <n v="3432000.0000000037"/>
    <n v="2246400"/>
    <n v="4180799.9999999995"/>
    <n v="0"/>
    <n v="17888000"/>
    <n v="45500"/>
    <n v="0"/>
    <n v="3003000.0000000033"/>
    <n v="1965600.0000000002"/>
    <n v="3658199.9999999995"/>
    <n v="0"/>
    <n v="15652000"/>
    <x v="0"/>
    <n v="-47"/>
    <n v="47"/>
    <n v="59"/>
    <n v="59"/>
  </r>
  <r>
    <n v="745"/>
    <x v="4"/>
    <s v="P6000388"/>
    <s v="MOTHERLOVE KIDS TOOTHPASTE ORNG 50G"/>
    <x v="4"/>
    <n v="60000"/>
    <n v="53.333333333333826"/>
    <n v="51.3"/>
    <n v="70.433333333333323"/>
    <n v="377"/>
    <n v="0"/>
    <n v="0"/>
    <n v="0"/>
    <n v="0"/>
    <n v="60"/>
    <n v="12"/>
    <n v="60"/>
    <n v="377"/>
    <n v="160.5773781353526"/>
    <n v="0"/>
    <n v="60"/>
    <n v="0"/>
    <n v="0"/>
    <n v="138.72692853762425"/>
    <n v="0"/>
    <n v="3200000.0000000293"/>
    <n v="3078000"/>
    <n v="4225999.9999999991"/>
    <n v="0"/>
    <n v="22620000"/>
    <n v="52500"/>
    <n v="0"/>
    <n v="2800000.0000000261"/>
    <n v="2693250"/>
    <n v="3697749.9999999995"/>
    <n v="0"/>
    <n v="19792500"/>
    <x v="0"/>
    <n v="-60"/>
    <n v="0"/>
    <n v="0"/>
    <n v="0"/>
  </r>
  <r>
    <n v="746"/>
    <x v="4"/>
    <s v="P6000389"/>
    <s v="MOTHERLOVE KIDS TOOTHPASTE STW 50G"/>
    <x v="4"/>
    <n v="60000"/>
    <n v="98.000000000000099"/>
    <n v="65.599999999999994"/>
    <n v="119.86666666666667"/>
    <n v="333"/>
    <n v="0"/>
    <n v="0"/>
    <n v="0"/>
    <n v="0"/>
    <n v="84"/>
    <n v="12"/>
    <n v="60"/>
    <n v="333"/>
    <n v="83.342602892102335"/>
    <n v="0"/>
    <n v="84"/>
    <n v="0"/>
    <n v="0"/>
    <n v="66.924360400444925"/>
    <n v="0"/>
    <n v="5880000.0000000056"/>
    <n v="3935999.9999999995"/>
    <n v="7192000"/>
    <n v="0"/>
    <n v="19980000"/>
    <n v="52500"/>
    <n v="0"/>
    <n v="5145000.0000000056"/>
    <n v="3443999.9999999995"/>
    <n v="6293000"/>
    <n v="0"/>
    <n v="17482500"/>
    <x v="0"/>
    <n v="-84"/>
    <n v="0"/>
    <n v="0"/>
    <n v="0"/>
  </r>
  <r>
    <n v="747"/>
    <x v="4"/>
    <s v="P60CLSG3"/>
    <s v="MUSTELA CLEANSING GEL 300 ML"/>
    <x v="3"/>
    <n v="263000"/>
    <n v="223.66666666666799"/>
    <n v="305"/>
    <n v="240.66666666666663"/>
    <n v="492"/>
    <n v="20"/>
    <n v="12"/>
    <n v="0"/>
    <n v="12"/>
    <n v="160"/>
    <n v="10"/>
    <n v="60"/>
    <n v="512"/>
    <n v="63.822714681440445"/>
    <n v="262.33333333333326"/>
    <n v="160"/>
    <n v="196.74999999999994"/>
    <n v="200"/>
    <n v="52.229916897506939"/>
    <n v="52600000"/>
    <n v="58824333.333333679"/>
    <n v="80215000"/>
    <n v="63295333.333333321"/>
    <n v="3156000"/>
    <n v="134656000"/>
    <n v="234070"/>
    <n v="46814000"/>
    <n v="52353656.666666977"/>
    <n v="71391350"/>
    <n v="56332846.666666657"/>
    <n v="2808840"/>
    <n v="119843840"/>
    <x v="0"/>
    <n v="40"/>
    <n v="0"/>
    <n v="0"/>
    <n v="0"/>
  </r>
  <r>
    <n v="748"/>
    <x v="4"/>
    <s v="P60INCSH"/>
    <s v="INTERLAC 30 SACH @ 0.3 G"/>
    <x v="3"/>
    <n v="375000"/>
    <n v="377.66666666666703"/>
    <n v="379"/>
    <n v="415.33333333333337"/>
    <n v="35969"/>
    <n v="60"/>
    <n v="12"/>
    <n v="16104"/>
    <n v="0"/>
    <n v="288"/>
    <n v="96"/>
    <n v="60"/>
    <n v="52133"/>
    <n v="3765.6260032102723"/>
    <n v="0"/>
    <n v="0"/>
    <n v="0"/>
    <n v="0"/>
    <n v="3738.2504012841091"/>
    <n v="0"/>
    <n v="141625000.00000015"/>
    <n v="142125000"/>
    <n v="155750000"/>
    <n v="0"/>
    <n v="19549875000"/>
    <n v="333750"/>
    <n v="0"/>
    <n v="126046250.00000012"/>
    <n v="126491250"/>
    <n v="138617500"/>
    <n v="0"/>
    <n v="17399388750"/>
    <x v="0"/>
    <n v="0"/>
    <n v="0"/>
    <n v="0"/>
    <n v="0"/>
  </r>
  <r>
    <n v="749"/>
    <x v="4"/>
    <s v="P60ITLOD"/>
    <s v="INTERLAC OIL DROP (C)"/>
    <x v="3"/>
    <n v="330000"/>
    <n v="2397.333333333333"/>
    <n v="2421.0039999999999"/>
    <n v="2603.6679999999997"/>
    <n v="3483"/>
    <n v="200"/>
    <n v="0"/>
    <n v="305"/>
    <n v="0"/>
    <n v="2200"/>
    <n v="200"/>
    <n v="60"/>
    <n v="3988"/>
    <n v="45.950558980638093"/>
    <n v="3640.3399999999992"/>
    <n v="1895"/>
    <n v="2730.2549999999992"/>
    <n v="2800"/>
    <n v="50.317429103864249"/>
    <n v="924000000"/>
    <n v="791119999.99999988"/>
    <n v="798931320"/>
    <n v="859210439.99999988"/>
    <n v="0"/>
    <n v="1316040000"/>
    <n v="293700"/>
    <n v="822360000"/>
    <n v="704096799.99999988"/>
    <n v="711048874.79999995"/>
    <n v="764697291.5999999"/>
    <n v="0"/>
    <n v="1171275600"/>
    <x v="0"/>
    <n v="905"/>
    <n v="1095"/>
    <n v="1295"/>
    <n v="1695"/>
  </r>
  <r>
    <n v="750"/>
    <x v="4"/>
    <s v="P60ITLPD"/>
    <s v="INTERLAC PRO D 30S"/>
    <x v="2"/>
    <n v="340000"/>
    <n v="-6.9999999999999307"/>
    <n v="0"/>
    <n v="-7.3333333333333339"/>
    <n v="8"/>
    <n v="0"/>
    <n v="0"/>
    <n v="0"/>
    <n v="1"/>
    <n v="0"/>
    <n v="160"/>
    <n v="60"/>
    <n v="8"/>
    <n v="9999"/>
    <n v="0"/>
    <n v="0"/>
    <n v="0"/>
    <n v="0"/>
    <n v="9999"/>
    <n v="0"/>
    <n v="-2379999.9999999763"/>
    <n v="0"/>
    <n v="-2493333.3333333335"/>
    <n v="340000"/>
    <n v="2720000"/>
    <n v="302600"/>
    <n v="0"/>
    <n v="-2118199.999999979"/>
    <n v="0"/>
    <n v="-2219066.666666667"/>
    <n v="302600"/>
    <n v="2420800"/>
    <x v="0"/>
    <n v="0"/>
    <n v="0"/>
    <n v="0"/>
    <n v="0"/>
  </r>
  <r>
    <n v="751"/>
    <x v="4"/>
    <s v="P60ITLSK"/>
    <s v="INTERLAC STRAW KUNYAH TAB 30 (C)"/>
    <x v="3"/>
    <n v="357000"/>
    <n v="353.33333333333269"/>
    <n v="411"/>
    <n v="386.66666666666674"/>
    <n v="865"/>
    <n v="120"/>
    <n v="0"/>
    <n v="1"/>
    <n v="0"/>
    <n v="60"/>
    <n v="10"/>
    <n v="60"/>
    <n v="986"/>
    <n v="76.499999999999986"/>
    <n v="198.33333333333348"/>
    <n v="59"/>
    <n v="148.75000000000011"/>
    <n v="150"/>
    <n v="56.249999999999986"/>
    <n v="53550000"/>
    <n v="126139999.99999978"/>
    <n v="146727000"/>
    <n v="138040000.00000003"/>
    <n v="0"/>
    <n v="352002000"/>
    <n v="317730"/>
    <n v="47659500"/>
    <n v="112264599.99999979"/>
    <n v="130587030"/>
    <n v="122855600.00000003"/>
    <n v="0"/>
    <n v="313281780"/>
    <x v="0"/>
    <n v="91"/>
    <n v="59"/>
    <n v="69"/>
    <n v="79"/>
  </r>
  <r>
    <n v="752"/>
    <x v="4"/>
    <s v="P60MAUUS"/>
    <s v="MUSTELA MUSTI EAU DE SOIN D F 50ML"/>
    <x v="3"/>
    <n v="239000"/>
    <n v="73.66666666666697"/>
    <n v="111"/>
    <n v="86.666666666666671"/>
    <n v="360"/>
    <n v="60"/>
    <n v="12"/>
    <n v="0"/>
    <n v="0"/>
    <n v="54"/>
    <n v="6"/>
    <n v="60"/>
    <n v="420"/>
    <n v="145.38461538461539"/>
    <n v="0"/>
    <n v="66"/>
    <n v="0"/>
    <n v="0"/>
    <n v="106.96153846153845"/>
    <n v="0"/>
    <n v="17606333.333333407"/>
    <n v="26529000"/>
    <n v="20713333.333333336"/>
    <n v="0"/>
    <n v="100380000"/>
    <n v="212710"/>
    <n v="0"/>
    <n v="15669636.666666731"/>
    <n v="23610810"/>
    <n v="18434866.666666668"/>
    <n v="0"/>
    <n v="89338200"/>
    <x v="0"/>
    <n v="-66"/>
    <n v="0"/>
    <n v="0"/>
    <n v="0"/>
  </r>
  <r>
    <n v="753"/>
    <x v="4"/>
    <s v="P60MBARC"/>
    <s v="MUSTELA BARRIER CREAM 50 ML"/>
    <x v="3"/>
    <n v="122000"/>
    <n v="1320.0000000000089"/>
    <n v="1654.7370000000001"/>
    <n v="1342.2456666666667"/>
    <n v="2384"/>
    <n v="462"/>
    <n v="36"/>
    <n v="144"/>
    <n v="0"/>
    <n v="216"/>
    <n v="12"/>
    <n v="60"/>
    <n v="2990"/>
    <n v="66.828302916232175"/>
    <n v="1349.2283333333335"/>
    <n v="108"/>
    <n v="1011.9212500000001"/>
    <n v="1008"/>
    <n v="52.373340995451152"/>
    <n v="122976000"/>
    <n v="161040000.00000107"/>
    <n v="201877914"/>
    <n v="163753971.33333334"/>
    <n v="0"/>
    <n v="364780000"/>
    <n v="108580"/>
    <n v="109448640"/>
    <n v="143325600.00000095"/>
    <n v="179671343.46000001"/>
    <n v="145741034.48666668"/>
    <n v="0"/>
    <n v="324654200"/>
    <x v="0"/>
    <n v="900"/>
    <n v="12"/>
    <n v="60"/>
    <n v="84"/>
  </r>
  <r>
    <n v="754"/>
    <x v="4"/>
    <s v="P60MBC10"/>
    <s v="MUSTELA BARRIER CREAM 100 ML"/>
    <x v="3"/>
    <n v="190000"/>
    <n v="504.66666666666561"/>
    <n v="605"/>
    <n v="530.66666666666674"/>
    <n v="736"/>
    <n v="406"/>
    <n v="16"/>
    <n v="16"/>
    <n v="0"/>
    <n v="160"/>
    <n v="8"/>
    <n v="60"/>
    <n v="1158"/>
    <n v="65.464824120603012"/>
    <n v="508.33333333333348"/>
    <n v="160"/>
    <n v="381.25000000000011"/>
    <n v="384"/>
    <n v="52.97110552763818"/>
    <n v="72960000"/>
    <n v="95886666.666666463"/>
    <n v="114950000"/>
    <n v="100826666.66666669"/>
    <n v="0"/>
    <n v="220020000"/>
    <n v="169100"/>
    <n v="64934400"/>
    <n v="85339133.33333315"/>
    <n v="102305500"/>
    <n v="89735733.333333343"/>
    <n v="0"/>
    <n v="195817800"/>
    <x v="0"/>
    <n v="224"/>
    <n v="96"/>
    <n v="144"/>
    <n v="160"/>
  </r>
  <r>
    <n v="755"/>
    <x v="4"/>
    <s v="P60MBOIL"/>
    <s v="MUSTELA BABY OIL 100 ML"/>
    <x v="3"/>
    <n v="215000"/>
    <n v="129.99999999999932"/>
    <n v="155"/>
    <n v="125.33333333333333"/>
    <n v="324"/>
    <n v="12"/>
    <n v="0"/>
    <n v="24"/>
    <n v="0"/>
    <n v="96"/>
    <n v="12"/>
    <n v="60"/>
    <n v="360"/>
    <n v="86.170212765957444"/>
    <n v="45.666666666666629"/>
    <n v="72"/>
    <n v="45.666666666666629"/>
    <n v="48"/>
    <n v="60.558510638297875"/>
    <n v="10320000"/>
    <n v="27949999.999999855"/>
    <n v="33325000"/>
    <n v="26946666.666666664"/>
    <n v="0"/>
    <n v="77400000"/>
    <n v="191350"/>
    <n v="9184800"/>
    <n v="24875499.99999987"/>
    <n v="29659250"/>
    <n v="23982533.333333332"/>
    <n v="0"/>
    <n v="68886000"/>
    <x v="0"/>
    <n v="-24"/>
    <n v="48"/>
    <n v="72"/>
    <n v="72"/>
  </r>
  <r>
    <n v="756"/>
    <x v="4"/>
    <s v="P60MBS2B"/>
    <s v="MUSTELA BEBE GENTLE SHAMPOO 200 ML"/>
    <x v="3"/>
    <n v="155000"/>
    <n v="302.66666666666629"/>
    <n v="396"/>
    <n v="324.66666666666669"/>
    <n v="444"/>
    <n v="336"/>
    <n v="60"/>
    <n v="0"/>
    <n v="0"/>
    <n v="216"/>
    <n v="24"/>
    <n v="60"/>
    <n v="780"/>
    <n v="72.07392197125256"/>
    <n v="265.33333333333348"/>
    <n v="276"/>
    <n v="265.33333333333348"/>
    <n v="264"/>
    <n v="59.876796714579051"/>
    <n v="40920000"/>
    <n v="46913333.333333276"/>
    <n v="61380000"/>
    <n v="50323333.333333336"/>
    <n v="0"/>
    <n v="120900000"/>
    <n v="137950"/>
    <n v="36418800"/>
    <n v="41752866.666666612"/>
    <n v="54628200"/>
    <n v="44787766.666666672"/>
    <n v="0"/>
    <n v="107601000"/>
    <x v="0"/>
    <n v="-12"/>
    <n v="0"/>
    <n v="0"/>
    <n v="0"/>
  </r>
  <r>
    <n v="757"/>
    <x v="4"/>
    <s v="P60MCGC1"/>
    <s v="MOTHERLOVE CALMING CREAM 30 GR"/>
    <x v="3"/>
    <n v="90000"/>
    <n v="64.999999999999375"/>
    <n v="68"/>
    <n v="51.333333333333336"/>
    <n v="4686"/>
    <n v="0"/>
    <n v="0"/>
    <n v="240"/>
    <n v="0"/>
    <n v="110"/>
    <n v="50"/>
    <n v="60"/>
    <n v="4926"/>
    <n v="2878.8311688311687"/>
    <n v="0"/>
    <n v="0"/>
    <n v="0"/>
    <n v="0"/>
    <n v="2839.090909090909"/>
    <n v="0"/>
    <n v="5849999.9999999441"/>
    <n v="6120000"/>
    <n v="4620000"/>
    <n v="0"/>
    <n v="443340000"/>
    <n v="78750"/>
    <n v="0"/>
    <n v="5118749.9999999506"/>
    <n v="5355000"/>
    <n v="4042500"/>
    <n v="0"/>
    <n v="387922500"/>
    <x v="0"/>
    <n v="0"/>
    <n v="0"/>
    <n v="0"/>
    <n v="0"/>
  </r>
  <r>
    <n v="758"/>
    <x v="4"/>
    <s v="P60MCTMC"/>
    <s v="MUSTELA CICASTELA MOISTURE CREAM 40"/>
    <x v="3"/>
    <n v="269000"/>
    <n v="1046.3333333333367"/>
    <n v="1066"/>
    <n v="1078.6666666666665"/>
    <n v="11722"/>
    <n v="270"/>
    <n v="0"/>
    <n v="5472"/>
    <n v="0"/>
    <n v="528"/>
    <n v="12"/>
    <n v="60"/>
    <n v="17464"/>
    <n v="485.71075401730536"/>
    <n v="0"/>
    <n v="0"/>
    <n v="0"/>
    <n v="0"/>
    <n v="456.06304079110021"/>
    <n v="0"/>
    <n v="281463666.66666758"/>
    <n v="286754000"/>
    <n v="290161333.33333331"/>
    <n v="0"/>
    <n v="4697816000"/>
    <n v="239410"/>
    <n v="0"/>
    <n v="250502663.33333412"/>
    <n v="255211060"/>
    <n v="258243586.66666663"/>
    <n v="0"/>
    <n v="4181056240"/>
    <x v="0"/>
    <n v="0"/>
    <n v="330"/>
    <n v="438"/>
    <n v="558"/>
  </r>
  <r>
    <n v="759"/>
    <x v="4"/>
    <s v="P60MDC20"/>
    <s v="MUSTELA BEBE GENT CLEANS GEL 200ML"/>
    <x v="3"/>
    <n v="153000"/>
    <n v="295.33333333333292"/>
    <n v="393.5"/>
    <n v="328.5"/>
    <n v="649"/>
    <n v="175"/>
    <n v="0"/>
    <n v="0"/>
    <n v="0"/>
    <n v="216"/>
    <n v="24"/>
    <n v="60"/>
    <n v="824"/>
    <n v="75.251141552511413"/>
    <n v="226.5"/>
    <n v="216"/>
    <n v="216"/>
    <n v="216"/>
    <n v="59.041095890410958"/>
    <n v="33048000"/>
    <n v="45185999.999999933"/>
    <n v="60205500"/>
    <n v="50260500"/>
    <n v="0"/>
    <n v="126072000"/>
    <n v="136170"/>
    <n v="29412720"/>
    <n v="40215539.99999994"/>
    <n v="53582895"/>
    <n v="44731845"/>
    <n v="0"/>
    <n v="112204080"/>
    <x v="0"/>
    <n v="0"/>
    <n v="0"/>
    <n v="0"/>
    <n v="0"/>
  </r>
  <r>
    <n v="760"/>
    <x v="4"/>
    <s v="P60MDC50"/>
    <s v="MSL GENTLE CLEANSING GEL 500ML"/>
    <x v="3"/>
    <n v="310000"/>
    <n v="490.00000000000097"/>
    <n v="476"/>
    <n v="506"/>
    <n v="566"/>
    <n v="13"/>
    <n v="18"/>
    <n v="60"/>
    <n v="18"/>
    <n v="432"/>
    <n v="12"/>
    <n v="60"/>
    <n v="639"/>
    <n v="37.885375494071148"/>
    <n v="831"/>
    <n v="372"/>
    <n v="623.25"/>
    <n v="624"/>
    <n v="47.727272727272727"/>
    <n v="193440000"/>
    <n v="151900000.0000003"/>
    <n v="147560000"/>
    <n v="156860000"/>
    <n v="5580000"/>
    <n v="198090000"/>
    <n v="275900"/>
    <n v="172161600"/>
    <n v="135191000.00000027"/>
    <n v="131328400"/>
    <n v="139605400"/>
    <n v="4966200"/>
    <n v="176300100"/>
    <x v="0"/>
    <n v="252"/>
    <n v="222"/>
    <n v="318"/>
    <n v="402"/>
  </r>
  <r>
    <n v="761"/>
    <x v="4"/>
    <s v="P60MFS15"/>
    <s v="MSL STLPA FOAM SHAMPOO 150ML"/>
    <x v="2"/>
    <n v="314000"/>
    <n v="27.333333333333371"/>
    <n v="54"/>
    <n v="32.666666666666671"/>
    <n v="199"/>
    <n v="26"/>
    <n v="5"/>
    <n v="0"/>
    <n v="0"/>
    <n v="10"/>
    <n v="10"/>
    <n v="60"/>
    <n v="225"/>
    <n v="206.63265306122446"/>
    <n v="0"/>
    <n v="15"/>
    <n v="0"/>
    <n v="0"/>
    <n v="157.04081632653057"/>
    <n v="0"/>
    <n v="8582666.6666666791"/>
    <n v="16956000"/>
    <n v="10257333.333333334"/>
    <n v="0"/>
    <n v="70650000"/>
    <n v="279460"/>
    <n v="0"/>
    <n v="7638573.3333333442"/>
    <n v="15090840"/>
    <n v="9129026.6666666679"/>
    <n v="0"/>
    <n v="62878500"/>
    <x v="0"/>
    <n v="-15"/>
    <n v="0"/>
    <n v="0"/>
    <n v="0"/>
  </r>
  <r>
    <n v="762"/>
    <x v="4"/>
    <s v="P60MGSCR"/>
    <s v="MSL GENTLE SOAP W COLD CREAM 100 G"/>
    <x v="2"/>
    <n v="115000"/>
    <n v="16.666666666666572"/>
    <n v="27"/>
    <n v="23"/>
    <n v="72"/>
    <n v="0"/>
    <n v="0"/>
    <n v="0"/>
    <n v="0"/>
    <n v="15"/>
    <n v="15"/>
    <n v="60"/>
    <n v="72"/>
    <n v="93.913043478260875"/>
    <n v="1"/>
    <n v="15"/>
    <n v="0"/>
    <n v="0"/>
    <n v="58.695652173913047"/>
    <n v="0"/>
    <n v="1916666.6666666558"/>
    <n v="3105000"/>
    <n v="2645000"/>
    <n v="0"/>
    <n v="8280000"/>
    <n v="102350"/>
    <n v="0"/>
    <n v="1705833.3333333237"/>
    <n v="2763450"/>
    <n v="2354050"/>
    <n v="0"/>
    <n v="7369200"/>
    <x v="0"/>
    <n v="-15"/>
    <n v="0"/>
    <n v="0"/>
    <n v="0"/>
  </r>
  <r>
    <n v="763"/>
    <x v="4"/>
    <s v="P60MHBL3"/>
    <s v="MUSTELA HYDRA BEBE BODY LOT 300 ML"/>
    <x v="3"/>
    <n v="255000"/>
    <n v="942.00000000000409"/>
    <n v="1149.45"/>
    <n v="1010.1500000000001"/>
    <n v="932"/>
    <n v="638"/>
    <n v="0"/>
    <n v="12"/>
    <n v="0"/>
    <n v="590"/>
    <n v="10"/>
    <n v="60"/>
    <n v="1582"/>
    <n v="46.983121318616043"/>
    <n v="1587.75"/>
    <n v="578"/>
    <n v="1190.8125"/>
    <n v="1190"/>
    <n v="48.187397911201302"/>
    <n v="303450000"/>
    <n v="240210000.00000104"/>
    <n v="293109750"/>
    <n v="257588250.00000003"/>
    <n v="0"/>
    <n v="403410000"/>
    <n v="226950"/>
    <n v="270070500"/>
    <n v="213786900.00000092"/>
    <n v="260867677.5"/>
    <n v="229253542.50000003"/>
    <n v="0"/>
    <n v="359034900"/>
    <x v="0"/>
    <n v="612"/>
    <n v="368"/>
    <n v="508"/>
    <n v="648"/>
  </r>
  <r>
    <n v="764"/>
    <x v="4"/>
    <s v="P60MHBW2"/>
    <s v="MUSTELA 2 IN 1 CLEANSING GEL 200ML"/>
    <x v="3"/>
    <n v="166000"/>
    <n v="175.99999999999923"/>
    <n v="181"/>
    <n v="171.33333333333337"/>
    <n v="479"/>
    <n v="30"/>
    <n v="10"/>
    <n v="0"/>
    <n v="11"/>
    <n v="70"/>
    <n v="10"/>
    <n v="60"/>
    <n v="509"/>
    <n v="89.124513618677014"/>
    <n v="3.6666666666667425"/>
    <n v="69"/>
    <n v="0"/>
    <n v="0"/>
    <n v="59.35797665369649"/>
    <n v="0"/>
    <n v="29215999.999999873"/>
    <n v="30046000"/>
    <n v="28441333.33333334"/>
    <n v="1826000"/>
    <n v="84494000"/>
    <n v="147740"/>
    <n v="0"/>
    <n v="26002239.999999888"/>
    <n v="26740940"/>
    <n v="25312786.666666672"/>
    <n v="1625140"/>
    <n v="75199660"/>
    <x v="0"/>
    <n v="-69"/>
    <n v="0"/>
    <n v="0"/>
    <n v="0"/>
  </r>
  <r>
    <n v="765"/>
    <x v="4"/>
    <s v="P60MHFC4"/>
    <s v="MUSTELA HYDRA BEBE FACIAL CR 40 ML"/>
    <x v="3"/>
    <n v="160000"/>
    <n v="4601.6666666666752"/>
    <n v="5011.1370000000006"/>
    <n v="4844.3790000000008"/>
    <n v="3717"/>
    <n v="1682"/>
    <n v="0"/>
    <n v="217"/>
    <n v="0"/>
    <n v="3708"/>
    <n v="12"/>
    <n v="60"/>
    <n v="5616"/>
    <n v="34.778451479539477"/>
    <n v="9083.8950000000023"/>
    <n v="3491"/>
    <n v="6812.9212500000012"/>
    <n v="6816"/>
    <n v="45.955506371404866"/>
    <n v="1090560000"/>
    <n v="736266666.66666806"/>
    <n v="801781920.00000012"/>
    <n v="775100640.00000012"/>
    <n v="0"/>
    <n v="898560000"/>
    <n v="142400"/>
    <n v="970598400"/>
    <n v="655277333.33333457"/>
    <n v="713585908.80000007"/>
    <n v="689839569.60000014"/>
    <n v="0"/>
    <n v="799718400"/>
    <x v="0"/>
    <n v="3325"/>
    <n v="1751"/>
    <n v="2663"/>
    <n v="3575"/>
  </r>
  <r>
    <n v="766"/>
    <x v="4"/>
    <s v="P60MHYDB"/>
    <s v="MSL HYDRABEBE BODY LOTION 500 ML"/>
    <x v="3"/>
    <n v="320000"/>
    <n v="810.33333333332928"/>
    <n v="914.16300000000001"/>
    <n v="773.721"/>
    <n v="1727"/>
    <n v="156"/>
    <n v="24"/>
    <n v="204"/>
    <n v="0"/>
    <n v="84"/>
    <n v="12"/>
    <n v="60"/>
    <n v="2087"/>
    <n v="80.920641936822193"/>
    <n v="374.60500000000002"/>
    <n v="0"/>
    <n v="0"/>
    <n v="0"/>
    <n v="45.475190669504897"/>
    <n v="0"/>
    <n v="259306666.66666538"/>
    <n v="292532160"/>
    <n v="247590720"/>
    <n v="0"/>
    <n v="667840000"/>
    <n v="284800"/>
    <n v="0"/>
    <n v="230782933.33333218"/>
    <n v="260353622.40000001"/>
    <n v="220355740.80000001"/>
    <n v="0"/>
    <n v="594377600"/>
    <x v="0"/>
    <n v="0"/>
    <n v="0"/>
    <n v="0"/>
    <n v="0"/>
  </r>
  <r>
    <n v="767"/>
    <x v="4"/>
    <s v="P60MNRCW"/>
    <s v="MUSTELA NR CLEANSING WATER 300 ML"/>
    <x v="3"/>
    <n v="167000"/>
    <n v="186.33333333333363"/>
    <n v="209"/>
    <n v="187"/>
    <n v="341"/>
    <n v="70"/>
    <n v="12"/>
    <n v="0"/>
    <n v="0"/>
    <n v="120"/>
    <n v="10"/>
    <n v="60"/>
    <n v="411"/>
    <n v="65.935828877005349"/>
    <n v="172"/>
    <n v="132"/>
    <n v="132"/>
    <n v="130"/>
    <n v="53.262032085561501"/>
    <n v="21710000"/>
    <n v="31117666.666666716"/>
    <n v="34903000"/>
    <n v="31229000"/>
    <n v="0"/>
    <n v="68637000"/>
    <n v="148630"/>
    <n v="19321900"/>
    <n v="27694723.333333377"/>
    <n v="31063670"/>
    <n v="27793810"/>
    <n v="0"/>
    <n v="61086930"/>
    <x v="0"/>
    <n v="-2"/>
    <n v="0"/>
    <n v="0"/>
    <n v="0"/>
  </r>
  <r>
    <n v="768"/>
    <x v="4"/>
    <s v="P60MOSC4"/>
    <s v="MUSTELA MOISTURIZING CREAM 40 ML"/>
    <x v="3"/>
    <n v="175000"/>
    <n v="643.33333333333428"/>
    <n v="745.56299999999999"/>
    <n v="675.18766666666681"/>
    <n v="1030"/>
    <n v="98"/>
    <n v="0"/>
    <n v="72"/>
    <n v="0"/>
    <n v="380"/>
    <n v="10"/>
    <n v="60"/>
    <n v="1200"/>
    <n v="53.31850947119392"/>
    <n v="895.9383333333335"/>
    <n v="308"/>
    <n v="671.95375000000013"/>
    <n v="670"/>
    <n v="49.961087361884061"/>
    <n v="117250000"/>
    <n v="112583333.33333349"/>
    <n v="130473525"/>
    <n v="118157841.66666669"/>
    <n v="0"/>
    <n v="210000000"/>
    <n v="155750"/>
    <n v="104352500"/>
    <n v="100199166.66666682"/>
    <n v="116121437.25"/>
    <n v="105160479.08333336"/>
    <n v="0"/>
    <n v="186900000"/>
    <x v="0"/>
    <n v="362"/>
    <n v="188"/>
    <n v="268"/>
    <n v="358"/>
  </r>
  <r>
    <n v="769"/>
    <x v="4"/>
    <s v="P60MOSL2"/>
    <s v="MUSTELA MOISTURIZING LOTION 200 ML"/>
    <x v="3"/>
    <n v="260000"/>
    <n v="135.6666666666672"/>
    <n v="168"/>
    <n v="127.66666666666667"/>
    <n v="440"/>
    <n v="32"/>
    <n v="10"/>
    <n v="48"/>
    <n v="0"/>
    <n v="40"/>
    <n v="10"/>
    <n v="60"/>
    <n v="520"/>
    <n v="122.19321148825065"/>
    <n v="0"/>
    <n v="2"/>
    <n v="0"/>
    <n v="0"/>
    <n v="82.715404699738897"/>
    <n v="0"/>
    <n v="35273333.33333347"/>
    <n v="43680000"/>
    <n v="33193333.333333336"/>
    <n v="0"/>
    <n v="135200000"/>
    <n v="231400"/>
    <n v="0"/>
    <n v="31393266.666666791"/>
    <n v="38875200"/>
    <n v="29542066.666666668"/>
    <n v="0"/>
    <n v="120328000"/>
    <x v="0"/>
    <n v="-2"/>
    <n v="0"/>
    <n v="0"/>
    <n v="0"/>
  </r>
  <r>
    <n v="770"/>
    <x v="4"/>
    <s v="P60MPSLA"/>
    <s v="MSL HIGH PROTECT SUN LOTION 40 ML"/>
    <x v="3"/>
    <n v="240000"/>
    <n v="35.666666666667041"/>
    <n v="31"/>
    <n v="33.333333333333329"/>
    <n v="118"/>
    <n v="0"/>
    <n v="108"/>
    <n v="0"/>
    <n v="84"/>
    <n v="24"/>
    <n v="12"/>
    <n v="60"/>
    <n v="118"/>
    <n v="106.20000000000002"/>
    <n v="0"/>
    <n v="48"/>
    <n v="0"/>
    <n v="0"/>
    <n v="153.90000000000003"/>
    <n v="0"/>
    <n v="8560000.0000000894"/>
    <n v="7440000"/>
    <n v="7999999.9999999991"/>
    <n v="20160000"/>
    <n v="28320000"/>
    <n v="213600"/>
    <n v="0"/>
    <n v="7618400.0000000801"/>
    <n v="6621600"/>
    <n v="7119999.9999999991"/>
    <n v="17942400"/>
    <n v="25204800"/>
    <x v="0"/>
    <n v="-48"/>
    <n v="0"/>
    <n v="0"/>
    <n v="0"/>
  </r>
  <r>
    <n v="771"/>
    <x v="4"/>
    <s v="P60MPSLB"/>
    <s v="MSL HIGH PROTECT SUN LOTION 100 ML"/>
    <x v="3"/>
    <n v="375000"/>
    <n v="26.333333333333428"/>
    <n v="28"/>
    <n v="24"/>
    <n v="104"/>
    <n v="32"/>
    <n v="72"/>
    <n v="0"/>
    <n v="72"/>
    <n v="16"/>
    <n v="8"/>
    <n v="60"/>
    <n v="136"/>
    <n v="170"/>
    <n v="0"/>
    <n v="16"/>
    <n v="0"/>
    <n v="0"/>
    <n v="225"/>
    <n v="0"/>
    <n v="9875000.0000000354"/>
    <n v="10500000"/>
    <n v="9000000"/>
    <n v="27000000"/>
    <n v="51000000"/>
    <n v="333750"/>
    <n v="0"/>
    <n v="8788750.0000000317"/>
    <n v="9345000"/>
    <n v="8010000"/>
    <n v="24030000"/>
    <n v="45390000"/>
    <x v="0"/>
    <n v="-16"/>
    <n v="0"/>
    <n v="0"/>
    <n v="0"/>
  </r>
  <r>
    <n v="772"/>
    <x v="4"/>
    <s v="P60MSBUA"/>
    <s v="MSL MULTISENSORY BUBBLEBATH 200 ML"/>
    <x v="2"/>
    <n v="160000"/>
    <n v="48.999999999999453"/>
    <n v="64"/>
    <n v="57.333333333333343"/>
    <n v="129"/>
    <n v="0"/>
    <n v="0"/>
    <n v="0"/>
    <n v="0"/>
    <n v="60"/>
    <n v="10"/>
    <n v="60"/>
    <n v="129"/>
    <n v="67.499999999999986"/>
    <n v="49.666666666666686"/>
    <n v="60"/>
    <n v="49.666666666666686"/>
    <n v="50"/>
    <n v="60.174418604651152"/>
    <n v="8000000"/>
    <n v="7839999.9999999125"/>
    <n v="10240000"/>
    <n v="9173333.333333334"/>
    <n v="0"/>
    <n v="20640000"/>
    <n v="142400"/>
    <n v="7120000"/>
    <n v="6977599.9999999218"/>
    <n v="9113600"/>
    <n v="8164266.6666666679"/>
    <n v="0"/>
    <n v="18369600"/>
    <x v="0"/>
    <n v="-10"/>
    <n v="0"/>
    <n v="0"/>
    <n v="0"/>
  </r>
  <r>
    <n v="773"/>
    <x v="4"/>
    <s v="P60MTNCB"/>
    <s v="MUSTELA NURSING COMFORT BALM 30ML"/>
    <x v="2"/>
    <n v="340000"/>
    <n v="29.999999999999673"/>
    <n v="32"/>
    <n v="38"/>
    <n v="105"/>
    <n v="12"/>
    <n v="0"/>
    <n v="0"/>
    <n v="0"/>
    <n v="24"/>
    <n v="12"/>
    <n v="60"/>
    <n v="117"/>
    <n v="92.368421052631575"/>
    <n v="0"/>
    <n v="24"/>
    <n v="0"/>
    <n v="0"/>
    <n v="67.10526315789474"/>
    <n v="0"/>
    <n v="10199999.999999888"/>
    <n v="10880000"/>
    <n v="12920000"/>
    <n v="0"/>
    <n v="39780000"/>
    <n v="302600"/>
    <n v="0"/>
    <n v="9077999.9999999013"/>
    <n v="9683200"/>
    <n v="11498800"/>
    <n v="0"/>
    <n v="35404200"/>
    <x v="0"/>
    <n v="-24"/>
    <n v="0"/>
    <n v="0"/>
    <n v="0"/>
  </r>
  <r>
    <n v="774"/>
    <x v="4"/>
    <s v="P60MTPS5"/>
    <s v="MOTHERLOVE TOOTHPASTE STRAW 50G"/>
    <x v="3"/>
    <n v="88000"/>
    <n v="196.33333333333366"/>
    <n v="219.0035"/>
    <n v="185.66783333333336"/>
    <n v="623"/>
    <n v="100"/>
    <n v="0"/>
    <n v="40"/>
    <n v="0"/>
    <n v="100"/>
    <n v="50"/>
    <n v="60"/>
    <n v="763"/>
    <n v="123.28468313035734"/>
    <n v="0"/>
    <n v="60"/>
    <n v="0"/>
    <n v="0"/>
    <n v="87.898343547212889"/>
    <n v="0"/>
    <n v="17277333.333333362"/>
    <n v="19272308"/>
    <n v="16338769.333333336"/>
    <n v="0"/>
    <n v="67144000"/>
    <n v="77000"/>
    <n v="0"/>
    <n v="15117666.666666692"/>
    <n v="16863269.5"/>
    <n v="14296423.16666667"/>
    <n v="0"/>
    <n v="58751000"/>
    <x v="0"/>
    <n v="-60"/>
    <n v="0"/>
    <n v="0"/>
    <n v="0"/>
  </r>
  <r>
    <n v="775"/>
    <x v="4"/>
    <s v="P60MTPV5"/>
    <s v="MOTHERLOVE TOOTHPASTE FR VANI 50G"/>
    <x v="3"/>
    <n v="88000"/>
    <n v="121.66666666666613"/>
    <n v="116"/>
    <n v="119.66666666666669"/>
    <n v="379"/>
    <n v="0"/>
    <n v="0"/>
    <n v="0"/>
    <n v="0"/>
    <n v="100"/>
    <n v="50"/>
    <n v="60"/>
    <n v="379"/>
    <n v="95.01392757660166"/>
    <n v="0"/>
    <n v="100"/>
    <n v="0"/>
    <n v="0"/>
    <n v="65.933147632311972"/>
    <n v="0"/>
    <n v="10706666.666666619"/>
    <n v="10208000"/>
    <n v="10530666.666666668"/>
    <n v="0"/>
    <n v="33352000"/>
    <n v="77000"/>
    <n v="0"/>
    <n v="9368333.333333293"/>
    <n v="8932000"/>
    <n v="9214333.333333334"/>
    <n v="0"/>
    <n v="29183000"/>
    <x v="0"/>
    <n v="-100"/>
    <n v="0"/>
    <n v="0"/>
    <n v="0"/>
  </r>
  <r>
    <n v="776"/>
    <x v="4"/>
    <s v="P60MTVK4"/>
    <s v="MUSTELA TRAVEL KIT (4S)"/>
    <x v="3"/>
    <n v="135000"/>
    <n v="313.66666666666572"/>
    <n v="367"/>
    <n v="320.00000000000011"/>
    <n v="380"/>
    <n v="0"/>
    <n v="21"/>
    <n v="0"/>
    <n v="0"/>
    <n v="400"/>
    <n v="20"/>
    <n v="60"/>
    <n v="380"/>
    <n v="35.624999999999986"/>
    <n v="627.00000000000023"/>
    <n v="421"/>
    <n v="470.25000000000017"/>
    <n v="480"/>
    <n v="46.218749999999986"/>
    <n v="64800000"/>
    <n v="42344999.999999873"/>
    <n v="49545000"/>
    <n v="43200000.000000015"/>
    <n v="0"/>
    <n v="51300000"/>
    <n v="120150"/>
    <n v="57672000"/>
    <n v="37687049.999999888"/>
    <n v="44095050"/>
    <n v="38448000.000000015"/>
    <n v="0"/>
    <n v="45657000"/>
    <x v="0"/>
    <n v="59"/>
    <n v="0"/>
    <n v="0"/>
    <n v="0"/>
  </r>
  <r>
    <n v="777"/>
    <x v="4"/>
    <s v="P60NCCDR"/>
    <s v="MSL NOURISH CREAM WITH COLDCRM40ML"/>
    <x v="3"/>
    <n v="169000"/>
    <n v="335.00000000000023"/>
    <n v="442"/>
    <n v="360.00000000000011"/>
    <n v="656"/>
    <n v="48"/>
    <n v="5"/>
    <n v="96"/>
    <n v="0"/>
    <n v="204"/>
    <n v="12"/>
    <n v="60"/>
    <n v="800"/>
    <n v="66.666666666666643"/>
    <n v="362.00000000000023"/>
    <n v="113"/>
    <n v="271.50000000000017"/>
    <n v="276"/>
    <n v="52.833333333333321"/>
    <n v="46644000"/>
    <n v="56615000.000000037"/>
    <n v="74698000"/>
    <n v="60840000.000000022"/>
    <n v="0"/>
    <n v="135200000"/>
    <n v="150410"/>
    <n v="41513160"/>
    <n v="50387350.000000037"/>
    <n v="66481220"/>
    <n v="54147600.000000015"/>
    <n v="0"/>
    <n v="120328000"/>
    <x v="0"/>
    <n v="163"/>
    <n v="72"/>
    <n v="84"/>
    <n v="132"/>
  </r>
  <r>
    <n v="778"/>
    <x v="4"/>
    <s v="P60NLWCD"/>
    <s v="MSL NOURISH LOT WITH COLDCRM 200ML"/>
    <x v="3"/>
    <n v="248000"/>
    <n v="228.99999999999929"/>
    <n v="259"/>
    <n v="247.00000000000003"/>
    <n v="490"/>
    <n v="52"/>
    <n v="0"/>
    <n v="8"/>
    <n v="0"/>
    <n v="80"/>
    <n v="10"/>
    <n v="60"/>
    <n v="550"/>
    <n v="66.801619433198383"/>
    <n v="203"/>
    <n v="72"/>
    <n v="152.25"/>
    <n v="150"/>
    <n v="53.562753036437243"/>
    <n v="37200000"/>
    <n v="56791999.999999821"/>
    <n v="64232000"/>
    <n v="61256000.000000007"/>
    <n v="0"/>
    <n v="136400000"/>
    <n v="220720"/>
    <n v="33108000"/>
    <n v="50544879.999999844"/>
    <n v="57166480"/>
    <n v="54517840.000000007"/>
    <n v="0"/>
    <n v="121396000"/>
    <x v="0"/>
    <n v="78"/>
    <n v="62"/>
    <n v="82"/>
    <n v="92"/>
  </r>
  <r>
    <n v="779"/>
    <x v="4"/>
    <s v="P60NOSCG"/>
    <s v="MSL NOURISH CLN GEL W COLDCRM300ML"/>
    <x v="3"/>
    <n v="225000"/>
    <n v="128.66666666666737"/>
    <n v="175"/>
    <n v="142"/>
    <n v="383"/>
    <n v="22"/>
    <n v="0"/>
    <n v="8"/>
    <n v="0"/>
    <n v="40"/>
    <n v="10"/>
    <n v="60"/>
    <n v="413"/>
    <n v="87.25352112676056"/>
    <n v="46"/>
    <n v="32"/>
    <n v="32"/>
    <n v="30"/>
    <n v="56.619718309859152"/>
    <n v="6750000"/>
    <n v="28950000.000000156"/>
    <n v="39375000"/>
    <n v="31950000"/>
    <n v="0"/>
    <n v="92925000"/>
    <n v="200250"/>
    <n v="6007500"/>
    <n v="25765500.000000142"/>
    <n v="35043750"/>
    <n v="28435500"/>
    <n v="0"/>
    <n v="82703250"/>
    <x v="0"/>
    <n v="-2"/>
    <n v="22"/>
    <n v="22"/>
    <n v="32"/>
  </r>
  <r>
    <n v="780"/>
    <x v="4"/>
    <s v="P60NRSCC"/>
    <s v="MUSTELA NOURISH STICK COLD CR 9.2G"/>
    <x v="2"/>
    <n v="230000"/>
    <n v="8.6666666666666998"/>
    <n v="7"/>
    <n v="8.3333333333333321"/>
    <n v="26"/>
    <n v="35"/>
    <n v="0"/>
    <n v="10"/>
    <n v="0"/>
    <n v="0"/>
    <n v="15"/>
    <n v="60"/>
    <n v="71"/>
    <n v="255.60000000000005"/>
    <n v="0"/>
    <n v="0"/>
    <n v="0"/>
    <n v="0"/>
    <n v="230.40000000000003"/>
    <n v="0"/>
    <n v="1993333.3333333409"/>
    <n v="1610000"/>
    <n v="1916666.6666666663"/>
    <n v="0"/>
    <n v="16330000"/>
    <n v="204700"/>
    <n v="0"/>
    <n v="1774066.6666666735"/>
    <n v="1432900"/>
    <n v="1705833.333333333"/>
    <n v="0"/>
    <n v="14533700"/>
    <x v="0"/>
    <n v="0"/>
    <n v="0"/>
    <n v="0"/>
    <n v="0"/>
  </r>
  <r>
    <n v="781"/>
    <x v="4"/>
    <s v="P60PBNH1"/>
    <s v="PHYSIOMER BABY NAS HYG 115ML (C)"/>
    <x v="3"/>
    <n v="203900"/>
    <n v="90.333333333333073"/>
    <n v="97"/>
    <n v="109.33333333333334"/>
    <n v="143"/>
    <n v="0"/>
    <n v="0"/>
    <n v="0"/>
    <n v="0"/>
    <n v="120"/>
    <n v="12"/>
    <n v="60"/>
    <n v="143"/>
    <n v="39.237804878048777"/>
    <n v="172.66666666666669"/>
    <n v="120"/>
    <n v="129.5"/>
    <n v="132"/>
    <n v="48.841463414634141"/>
    <n v="26914800"/>
    <n v="18418966.666666612"/>
    <n v="19778300"/>
    <n v="22293066.666666668"/>
    <n v="0"/>
    <n v="29157700"/>
    <n v="181471"/>
    <n v="23954172"/>
    <n v="16392880.333333286"/>
    <n v="17602687"/>
    <n v="19840829.333333336"/>
    <n v="0"/>
    <n v="25950353"/>
    <x v="0"/>
    <n v="12"/>
    <n v="0"/>
    <n v="0"/>
    <n v="0"/>
  </r>
  <r>
    <n v="782"/>
    <x v="4"/>
    <s v="P60PSHD1"/>
    <s v="PHYSIOMER HYPER DECO 135ML (C)"/>
    <x v="2"/>
    <n v="203900"/>
    <n v="19"/>
    <n v="36"/>
    <n v="25.666666666666664"/>
    <n v="133"/>
    <n v="0"/>
    <n v="1"/>
    <n v="0"/>
    <n v="0"/>
    <n v="24"/>
    <n v="12"/>
    <n v="60"/>
    <n v="133"/>
    <n v="155.45454545454547"/>
    <n v="0"/>
    <n v="25"/>
    <n v="0"/>
    <n v="0"/>
    <n v="113.37662337662339"/>
    <n v="0"/>
    <n v="3874100"/>
    <n v="7340400"/>
    <n v="5233433.333333333"/>
    <n v="0"/>
    <n v="27118700"/>
    <n v="181471"/>
    <n v="0"/>
    <n v="3447949"/>
    <n v="6532956"/>
    <n v="4657755.666666666"/>
    <n v="0"/>
    <n v="24135643"/>
    <x v="0"/>
    <n v="-25"/>
    <n v="0"/>
    <n v="0"/>
    <n v="0"/>
  </r>
  <r>
    <n v="783"/>
    <x v="4"/>
    <s v="P60PSNJC"/>
    <s v="PHYSIOMER NORMAL JET 135ML ( C )"/>
    <x v="2"/>
    <n v="181000"/>
    <n v="9.66666666666673"/>
    <n v="8"/>
    <n v="8.6666666666666661"/>
    <n v="4043"/>
    <n v="0"/>
    <n v="0"/>
    <n v="1056"/>
    <n v="0"/>
    <n v="0"/>
    <n v="12"/>
    <n v="60"/>
    <n v="5099"/>
    <n v="9999"/>
    <n v="0"/>
    <n v="0"/>
    <n v="0"/>
    <n v="0"/>
    <n v="17622.692307692312"/>
    <n v="0"/>
    <n v="1749666.6666666782"/>
    <n v="1448000"/>
    <n v="1568666.6666666665"/>
    <n v="0"/>
    <n v="922919000"/>
    <n v="161090"/>
    <n v="0"/>
    <n v="1557203.3333333435"/>
    <n v="1288720"/>
    <n v="1396113.3333333333"/>
    <n v="0"/>
    <n v="821397910"/>
    <x v="0"/>
    <n v="0"/>
    <n v="0"/>
    <n v="0"/>
    <n v="0"/>
  </r>
  <r>
    <n v="784"/>
    <x v="4"/>
    <s v="P60STCLG"/>
    <s v="MSL STELATOPIA CLEANSING GEL 200ML"/>
    <x v="3"/>
    <n v="340000"/>
    <n v="80.666666666666728"/>
    <n v="142"/>
    <n v="102.00000000000003"/>
    <n v="191"/>
    <n v="33"/>
    <n v="0"/>
    <n v="0"/>
    <n v="0"/>
    <n v="80"/>
    <n v="10"/>
    <n v="60"/>
    <n v="224"/>
    <n v="65.88235294117645"/>
    <n v="122.00000000000006"/>
    <n v="80"/>
    <n v="91.500000000000043"/>
    <n v="90"/>
    <n v="50.588235294117631"/>
    <n v="30600000"/>
    <n v="27426666.666666687"/>
    <n v="48280000"/>
    <n v="34680000.000000007"/>
    <n v="0"/>
    <n v="76160000"/>
    <n v="302600"/>
    <n v="27234000"/>
    <n v="24409733.333333351"/>
    <n v="42969200"/>
    <n v="30865200.000000007"/>
    <n v="0"/>
    <n v="67782400"/>
    <x v="0"/>
    <n v="10"/>
    <n v="0"/>
    <n v="0"/>
    <n v="0"/>
  </r>
  <r>
    <n v="785"/>
    <x v="4"/>
    <s v="P60STEMF"/>
    <s v="MSL STELATOPIA EMOLLIENT FACE 40ML"/>
    <x v="3"/>
    <n v="230000"/>
    <n v="569.33333333333326"/>
    <n v="642.46299999999997"/>
    <n v="559.48766666666666"/>
    <n v="791"/>
    <n v="276"/>
    <n v="6"/>
    <n v="0"/>
    <n v="0"/>
    <n v="336"/>
    <n v="48"/>
    <n v="60"/>
    <n v="1067"/>
    <n v="57.213057422177314"/>
    <n v="694.43833333333328"/>
    <n v="342"/>
    <n v="520.8287499999999"/>
    <n v="528"/>
    <n v="51.075495855434411"/>
    <n v="121440000"/>
    <n v="130946666.66666664"/>
    <n v="147766490"/>
    <n v="128682163.33333333"/>
    <n v="0"/>
    <n v="245410000"/>
    <n v="204700"/>
    <n v="108081600"/>
    <n v="116542533.33333331"/>
    <n v="131512176.09999999"/>
    <n v="114527125.36666666"/>
    <n v="0"/>
    <n v="218414900"/>
    <x v="0"/>
    <n v="186"/>
    <n v="0"/>
    <n v="0"/>
    <n v="0"/>
  </r>
  <r>
    <n v="786"/>
    <x v="4"/>
    <s v="P60STLPA"/>
    <s v="MSL STLPA CLEANSING OIL 500ML"/>
    <x v="3"/>
    <n v="470000"/>
    <n v="95.666666666666714"/>
    <n v="107"/>
    <n v="103.33333333333334"/>
    <n v="208"/>
    <n v="12"/>
    <n v="12"/>
    <n v="0"/>
    <n v="8"/>
    <n v="72"/>
    <n v="12"/>
    <n v="60"/>
    <n v="220"/>
    <n v="63.87096774193548"/>
    <n v="85.666666666666686"/>
    <n v="76"/>
    <n v="76"/>
    <n v="72"/>
    <n v="56.032258064516128"/>
    <n v="33840000"/>
    <n v="44963333.333333358"/>
    <n v="50290000"/>
    <n v="48566666.666666672"/>
    <n v="3760000"/>
    <n v="103400000"/>
    <n v="418300"/>
    <n v="30117600"/>
    <n v="40017366.666666687"/>
    <n v="44758100"/>
    <n v="43224333.333333336"/>
    <n v="3346400"/>
    <n v="92026000"/>
    <x v="0"/>
    <n v="-4"/>
    <n v="0"/>
    <n v="0"/>
    <n v="0"/>
  </r>
  <r>
    <n v="787"/>
    <x v="4"/>
    <s v="P60STMC3"/>
    <s v="MSL STRETCH MARKS CRM 3IN1 150ML"/>
    <x v="3"/>
    <n v="450000"/>
    <n v="56.6666666666667"/>
    <n v="73"/>
    <n v="52"/>
    <n v="185"/>
    <n v="0"/>
    <n v="0"/>
    <n v="0"/>
    <n v="0"/>
    <n v="20"/>
    <n v="10"/>
    <n v="60"/>
    <n v="185"/>
    <n v="106.73076923076923"/>
    <n v="0"/>
    <n v="20"/>
    <n v="0"/>
    <n v="0"/>
    <n v="64.615384615384613"/>
    <n v="0"/>
    <n v="25500000.000000015"/>
    <n v="32850000"/>
    <n v="23400000"/>
    <n v="0"/>
    <n v="83250000"/>
    <n v="400500"/>
    <n v="0"/>
    <n v="22695000.000000015"/>
    <n v="29236500"/>
    <n v="20826000"/>
    <n v="0"/>
    <n v="74092500"/>
    <x v="0"/>
    <n v="-20"/>
    <n v="0"/>
    <n v="0"/>
    <n v="0"/>
  </r>
  <r>
    <n v="788"/>
    <x v="5"/>
    <s v="P7100002"/>
    <s v="INDAL - CTN @10 TAB AMPLOP"/>
    <x v="3"/>
    <n v="16500"/>
    <n v="29530.66666666677"/>
    <n v="34885"/>
    <n v="32982.333333333328"/>
    <n v="41315"/>
    <n v="7320"/>
    <n v="0"/>
    <n v="5640"/>
    <n v="0"/>
    <n v="11880"/>
    <n v="120"/>
    <n v="55"/>
    <n v="54275"/>
    <n v="49.3673380698758"/>
    <n v="41077.611111111095"/>
    <n v="6240"/>
    <n v="30000"/>
    <n v="30000"/>
    <n v="44.924050249123276"/>
    <n v="495000000"/>
    <n v="487256000.00000173"/>
    <n v="575602500"/>
    <n v="544208499.99999988"/>
    <n v="0"/>
    <n v="895537500"/>
    <n v="14520"/>
    <n v="435600000"/>
    <n v="428785280.00000149"/>
    <n v="506530200"/>
    <n v="478903479.99999994"/>
    <n v="0"/>
    <n v="788073000"/>
    <x v="3"/>
    <n v="23760"/>
    <n v="1680"/>
    <n v="4200"/>
    <n v="7440"/>
  </r>
  <r>
    <n v="789"/>
    <x v="5"/>
    <s v="P7100007"/>
    <s v="MADU TJ HONEY COMB 250 GR"/>
    <x v="2"/>
    <n v="42925"/>
    <n v="302.00000000000136"/>
    <n v="530"/>
    <n v="390.66666666666657"/>
    <n v="2071"/>
    <n v="84"/>
    <n v="12"/>
    <n v="12"/>
    <n v="0"/>
    <n v="24"/>
    <n v="12"/>
    <n v="42"/>
    <n v="2167"/>
    <n v="166.40784982935159"/>
    <n v="0"/>
    <n v="24"/>
    <n v="0"/>
    <n v="0"/>
    <n v="125.7081911262799"/>
    <n v="0"/>
    <n v="12963350.000000058"/>
    <n v="22750250"/>
    <n v="16769366.666666662"/>
    <n v="0"/>
    <n v="93018475"/>
    <n v="37774"/>
    <n v="0"/>
    <n v="11407748.000000052"/>
    <n v="20020220"/>
    <n v="14757042.666666662"/>
    <n v="0"/>
    <n v="81856258"/>
    <x v="4"/>
    <n v="-24"/>
    <n v="12"/>
    <n v="12"/>
    <n v="12"/>
  </r>
  <r>
    <n v="790"/>
    <x v="5"/>
    <s v="P7100008"/>
    <s v="MINYAK HERBA WAHID 100 ML"/>
    <x v="2"/>
    <n v="16150"/>
    <n v="3694.6666666666724"/>
    <n v="5253"/>
    <n v="4839.666666666667"/>
    <n v="5462"/>
    <n v="600"/>
    <n v="700"/>
    <n v="0"/>
    <n v="0"/>
    <n v="4200"/>
    <n v="100"/>
    <n v="55"/>
    <n v="6062"/>
    <n v="37.57696811075143"/>
    <n v="8063.7222222222226"/>
    <n v="4900"/>
    <n v="8063.7222222222226"/>
    <n v="8100"/>
    <n v="55.224877746401262"/>
    <n v="130815000"/>
    <n v="59668866.666666761"/>
    <n v="84835950"/>
    <n v="78160616.666666672"/>
    <n v="0"/>
    <n v="97901300"/>
    <n v="14212"/>
    <n v="115117200"/>
    <n v="52508602.666666746"/>
    <n v="74655636"/>
    <n v="68781342.666666672"/>
    <n v="0"/>
    <n v="86153144"/>
    <x v="5"/>
    <n v="3200"/>
    <n v="0"/>
    <n v="0"/>
    <n v="0"/>
  </r>
  <r>
    <n v="791"/>
    <x v="5"/>
    <s v="P7100009"/>
    <s v="HOTIN GO 100 GR"/>
    <x v="3"/>
    <n v="22865"/>
    <n v="17279.333333333387"/>
    <n v="14862"/>
    <n v="16135.333333333334"/>
    <n v="36478"/>
    <n v="4100"/>
    <n v="0"/>
    <n v="5600"/>
    <n v="0"/>
    <n v="1500"/>
    <n v="100"/>
    <n v="55"/>
    <n v="46178"/>
    <n v="85.857538321695657"/>
    <n v="0"/>
    <n v="0"/>
    <n v="0"/>
    <n v="0"/>
    <n v="58.225013428087422"/>
    <n v="0"/>
    <n v="395091956.66666788"/>
    <n v="339819630"/>
    <n v="368934396.66666669"/>
    <n v="0"/>
    <n v="1055859970"/>
    <n v="20121"/>
    <n v="0"/>
    <n v="347677466.00000107"/>
    <n v="299038302"/>
    <n v="324659042"/>
    <n v="0"/>
    <n v="929147538"/>
    <x v="6"/>
    <n v="0"/>
    <n v="0"/>
    <n v="0"/>
    <n v="0"/>
  </r>
  <r>
    <n v="792"/>
    <x v="5"/>
    <s v="P7100010"/>
    <s v="HOTIN GO STRONG 100 GR"/>
    <x v="3"/>
    <n v="22865"/>
    <n v="7247.3333333333067"/>
    <n v="5872"/>
    <n v="7050.3333333333339"/>
    <n v="13106"/>
    <n v="1700"/>
    <n v="100"/>
    <n v="2200"/>
    <n v="0"/>
    <n v="2500"/>
    <n v="100"/>
    <n v="45"/>
    <n v="17006"/>
    <n v="72.362536050304939"/>
    <n v="0"/>
    <n v="400"/>
    <n v="400"/>
    <n v="400"/>
    <n v="49.078530565930684"/>
    <n v="9146000"/>
    <n v="165710276.66666606"/>
    <n v="134263280"/>
    <n v="161205871.66666669"/>
    <n v="0"/>
    <n v="388842190"/>
    <n v="20121"/>
    <n v="8048400"/>
    <n v="145823593.99999946"/>
    <n v="118150512"/>
    <n v="141859757"/>
    <n v="0"/>
    <n v="342177726"/>
    <x v="6"/>
    <n v="0"/>
    <n v="0"/>
    <n v="0"/>
    <n v="700"/>
  </r>
  <r>
    <n v="793"/>
    <x v="5"/>
    <s v="P7100011"/>
    <s v="TJ OBH 150 GR"/>
    <x v="2"/>
    <n v="15980"/>
    <n v="668.00000000000273"/>
    <n v="548"/>
    <n v="665.66666666666663"/>
    <n v="1966"/>
    <n v="192"/>
    <n v="0"/>
    <n v="0"/>
    <n v="0"/>
    <n v="144"/>
    <n v="48"/>
    <n v="42"/>
    <n v="2158"/>
    <n v="97.255883825738621"/>
    <n v="0"/>
    <n v="144"/>
    <n v="0"/>
    <n v="0"/>
    <n v="72.558838257386086"/>
    <n v="0"/>
    <n v="10674640.000000043"/>
    <n v="8757040"/>
    <n v="10637353.333333332"/>
    <n v="0"/>
    <n v="34484840"/>
    <n v="14062"/>
    <n v="0"/>
    <n v="9393416.0000000391"/>
    <n v="7705976"/>
    <n v="9360604.666666666"/>
    <n v="0"/>
    <n v="30345796"/>
    <x v="4"/>
    <n v="-144"/>
    <n v="0"/>
    <n v="0"/>
    <n v="0"/>
  </r>
  <r>
    <n v="794"/>
    <x v="5"/>
    <s v="P7100013"/>
    <s v="HOTIN GO STRONG TUBE 50 GR"/>
    <x v="2"/>
    <n v="15300"/>
    <n v="1300.3333333333337"/>
    <n v="879"/>
    <n v="1060.6666666666667"/>
    <n v="5304"/>
    <n v="300"/>
    <n v="0"/>
    <n v="2300"/>
    <n v="0"/>
    <n v="100"/>
    <n v="100"/>
    <n v="55"/>
    <n v="7904"/>
    <n v="223.55751099937143"/>
    <n v="0"/>
    <n v="0"/>
    <n v="0"/>
    <n v="0"/>
    <n v="198.69578881206786"/>
    <n v="0"/>
    <n v="19895100.000000007"/>
    <n v="13448700"/>
    <n v="16228200.000000002"/>
    <n v="0"/>
    <n v="120931200"/>
    <n v="13464"/>
    <n v="0"/>
    <n v="17507688.000000004"/>
    <n v="11834856"/>
    <n v="14280816.000000002"/>
    <n v="0"/>
    <n v="106419456"/>
    <x v="6"/>
    <n v="0"/>
    <n v="0"/>
    <n v="0"/>
    <n v="0"/>
  </r>
  <r>
    <n v="795"/>
    <x v="5"/>
    <s v="P7100014"/>
    <s v="FRESHLIVING BEBIO C&amp;F 9 ML"/>
    <x v="3"/>
    <n v="18275"/>
    <n v="22582.000000000065"/>
    <n v="30566"/>
    <n v="24627.333333333336"/>
    <n v="43972"/>
    <n v="5328"/>
    <n v="0"/>
    <n v="6768"/>
    <n v="0"/>
    <n v="4752"/>
    <n v="144"/>
    <n v="45"/>
    <n v="56068"/>
    <n v="68.299721177011989"/>
    <n v="11439"/>
    <n v="0"/>
    <n v="11439"/>
    <n v="11376"/>
    <n v="44.923256002815293"/>
    <n v="207896400"/>
    <n v="412686050.00000119"/>
    <n v="558593650"/>
    <n v="450064516.66666669"/>
    <n v="0"/>
    <n v="1024642700"/>
    <n v="16082"/>
    <n v="182948832"/>
    <n v="363163724.00000107"/>
    <n v="491562412"/>
    <n v="396056774.66666669"/>
    <n v="0"/>
    <n v="901685576"/>
    <x v="7"/>
    <n v="11376"/>
    <n v="0"/>
    <n v="0"/>
    <n v="0"/>
  </r>
  <r>
    <n v="796"/>
    <x v="5"/>
    <s v="P7100015"/>
    <s v="FRESHLIVING BEBIO ITCHY 9 ML"/>
    <x v="2"/>
    <n v="18275"/>
    <n v="-2534.6666666667061"/>
    <n v="1420"/>
    <n v="-1213.9999999999998"/>
    <n v="2526"/>
    <n v="0"/>
    <n v="0"/>
    <n v="0"/>
    <n v="0"/>
    <n v="864"/>
    <n v="144"/>
    <n v="45"/>
    <n v="2526"/>
    <n v="9999"/>
    <n v="0"/>
    <n v="864"/>
    <n v="864"/>
    <n v="864"/>
    <n v="9999"/>
    <n v="15789600"/>
    <n v="-46321033.333334051"/>
    <n v="25950500"/>
    <n v="-22185849.999999996"/>
    <n v="0"/>
    <n v="46162650"/>
    <n v="16082"/>
    <n v="13894848"/>
    <n v="-40762509.333333969"/>
    <n v="22836440"/>
    <n v="-19523547.999999996"/>
    <n v="0"/>
    <n v="40623132"/>
    <x v="7"/>
    <n v="0"/>
    <n v="0"/>
    <n v="0"/>
    <n v="0"/>
  </r>
  <r>
    <n v="797"/>
    <x v="5"/>
    <s v="P7100016"/>
    <s v="FRESHLIVING BEBIO TUMMY 9 ML"/>
    <x v="2"/>
    <n v="18275"/>
    <n v="2156.3333333333267"/>
    <n v="3171"/>
    <n v="2475.333333333333"/>
    <n v="5395"/>
    <n v="0"/>
    <n v="0"/>
    <n v="288"/>
    <n v="0"/>
    <n v="1008"/>
    <n v="144"/>
    <n v="45"/>
    <n v="5683"/>
    <n v="68.875572313493151"/>
    <n v="1201"/>
    <n v="720"/>
    <n v="1201"/>
    <n v="1152"/>
    <n v="44.406140587126316"/>
    <n v="21052800"/>
    <n v="39406991.666666545"/>
    <n v="57950025"/>
    <n v="45236716.666666664"/>
    <n v="0"/>
    <n v="103856825"/>
    <n v="16082"/>
    <n v="18526464"/>
    <n v="34678152.66666656"/>
    <n v="50996022"/>
    <n v="39808310.666666664"/>
    <n v="0"/>
    <n v="91394006"/>
    <x v="7"/>
    <n v="432"/>
    <n v="720"/>
    <n v="720"/>
    <n v="720"/>
  </r>
  <r>
    <n v="798"/>
    <x v="5"/>
    <s v="P7100019"/>
    <s v="FRESHCARE SMASH 8 ML"/>
    <x v="3"/>
    <n v="9826"/>
    <n v="524403.33333333302"/>
    <n v="842000"/>
    <n v="600213.00000000012"/>
    <n v="846731"/>
    <n v="175392"/>
    <n v="5760"/>
    <n v="15264"/>
    <n v="0"/>
    <n v="342000"/>
    <n v="144"/>
    <n v="55"/>
    <n v="1037387"/>
    <n v="51.850942915265072"/>
    <n v="905003.50000000023"/>
    <n v="332496"/>
    <n v="905003.50000000023"/>
    <n v="905040"/>
    <n v="55.001824352354902"/>
    <n v="8892923040"/>
    <n v="5152787153.3333302"/>
    <n v="8273492000"/>
    <n v="5897692938.000001"/>
    <n v="0"/>
    <n v="10193364662"/>
    <n v="8647"/>
    <n v="7825880880"/>
    <n v="4534515623.3333311"/>
    <n v="7280774000"/>
    <n v="5190041811.000001"/>
    <n v="0"/>
    <n v="8970285389"/>
    <x v="8"/>
    <n v="572544"/>
    <n v="157392"/>
    <n v="242928"/>
    <n v="328176"/>
  </r>
  <r>
    <n v="799"/>
    <x v="5"/>
    <s v="P7100021"/>
    <s v="FRESHCARE SMASH MATCHA"/>
    <x v="3"/>
    <n v="9826"/>
    <n v="641990.99999999953"/>
    <n v="1004748"/>
    <n v="725066.33333333326"/>
    <n v="1182976"/>
    <n v="219456"/>
    <n v="48240"/>
    <n v="256896"/>
    <n v="0"/>
    <n v="202032"/>
    <n v="144"/>
    <n v="55"/>
    <n v="1659328"/>
    <n v="68.655566686082523"/>
    <n v="674708.27777777752"/>
    <n v="0"/>
    <n v="674708.27777777752"/>
    <n v="674640"/>
    <n v="54.997174971117595"/>
    <n v="6629012640"/>
    <n v="6308203565.9999952"/>
    <n v="9872653848"/>
    <n v="7124501791.333333"/>
    <n v="0"/>
    <n v="16304556928"/>
    <n v="8647"/>
    <n v="5833612080"/>
    <n v="5551296176.9999962"/>
    <n v="8688055956"/>
    <n v="6269648584.333333"/>
    <n v="0"/>
    <n v="14348209216"/>
    <x v="8"/>
    <n v="674640"/>
    <n v="0"/>
    <n v="0"/>
    <n v="0"/>
  </r>
  <r>
    <n v="800"/>
    <x v="5"/>
    <s v="P7100023"/>
    <s v="BEBIO BABY HAIR LOTION 100ML"/>
    <x v="3"/>
    <n v="19975"/>
    <n v="24007.999999999956"/>
    <n v="29556"/>
    <n v="26519"/>
    <n v="36436"/>
    <n v="1680"/>
    <n v="1008"/>
    <n v="8976"/>
    <n v="0"/>
    <n v="8496"/>
    <n v="48"/>
    <n v="45"/>
    <n v="47092"/>
    <n v="53.273502017421478"/>
    <n v="22242.5"/>
    <n v="528"/>
    <n v="22242.5"/>
    <n v="22224"/>
    <n v="44.979071609035032"/>
    <n v="443924400"/>
    <n v="479559799.99999911"/>
    <n v="590381100"/>
    <n v="529717025"/>
    <n v="0"/>
    <n v="940662700"/>
    <n v="17578"/>
    <n v="390653472"/>
    <n v="422012623.99999923"/>
    <n v="519535368"/>
    <n v="466150982"/>
    <n v="0"/>
    <n v="827783176"/>
    <x v="7"/>
    <n v="21696"/>
    <n v="0"/>
    <n v="0"/>
    <n v="0"/>
  </r>
  <r>
    <n v="801"/>
    <x v="5"/>
    <s v="P7100024"/>
    <s v="BEBIO HEAD TOTOE BABY WASH 250ML"/>
    <x v="2"/>
    <n v="34850"/>
    <n v="228.33333333333155"/>
    <n v="684"/>
    <n v="458.33333333333331"/>
    <n v="1083"/>
    <n v="72"/>
    <n v="48"/>
    <n v="48"/>
    <n v="0"/>
    <n v="192"/>
    <n v="24"/>
    <n v="45"/>
    <n v="1203"/>
    <n v="78.741818181818189"/>
    <n v="168.5"/>
    <n v="192"/>
    <n v="168.5"/>
    <n v="168"/>
    <n v="44.967272727272729"/>
    <n v="5854800"/>
    <n v="7957416.6666666046"/>
    <n v="23837400"/>
    <n v="15972916.666666666"/>
    <n v="0"/>
    <n v="41924550"/>
    <n v="30668"/>
    <n v="5152224"/>
    <n v="7002526.666666612"/>
    <n v="20976912"/>
    <n v="14056166.666666666"/>
    <n v="0"/>
    <n v="36893604"/>
    <x v="7"/>
    <n v="-24"/>
    <n v="96"/>
    <n v="96"/>
    <n v="120"/>
  </r>
  <r>
    <n v="802"/>
    <x v="5"/>
    <s v="P7100026"/>
    <s v="FRESHCARE STRONG 15+5 ML"/>
    <x v="3"/>
    <n v="12920"/>
    <n v="615159.33333333302"/>
    <n v="804296"/>
    <n v="705064.99999999988"/>
    <n v="794707"/>
    <n v="83232"/>
    <n v="0"/>
    <n v="27216"/>
    <n v="0"/>
    <n v="477216"/>
    <n v="144"/>
    <n v="55"/>
    <n v="905155"/>
    <n v="38.513683135597432"/>
    <n v="1191760.1666666665"/>
    <n v="450000"/>
    <n v="1191760.1666666665"/>
    <n v="1191744"/>
    <n v="54.999312120159146"/>
    <n v="15397332480"/>
    <n v="7947858586.6666622"/>
    <n v="10391504320"/>
    <n v="9109439799.9999981"/>
    <n v="0"/>
    <n v="11694602600"/>
    <n v="11370"/>
    <n v="13550129280"/>
    <n v="6994361619.9999962"/>
    <n v="9144845520"/>
    <n v="8016589049.999999"/>
    <n v="0"/>
    <n v="10291612350"/>
    <x v="8"/>
    <n v="741744"/>
    <n v="213408"/>
    <n v="332784"/>
    <n v="452160"/>
  </r>
  <r>
    <n v="803"/>
    <x v="5"/>
    <s v="P7100030"/>
    <s v="MYWELL VITAMIN D3 4000 IU ISI 20"/>
    <x v="2"/>
    <n v="21250"/>
    <n v="14201.000000000002"/>
    <n v="13097.484766034666"/>
    <n v="15083.494922011558"/>
    <n v="14090"/>
    <n v="2304"/>
    <n v="144"/>
    <n v="576"/>
    <n v="0"/>
    <n v="6912"/>
    <n v="72"/>
    <n v="50"/>
    <n v="16970"/>
    <n v="33.752124599257378"/>
    <n v="21266.642969387263"/>
    <n v="6480"/>
    <n v="21266.642969387263"/>
    <n v="21240"/>
    <n v="49.947009026372839"/>
    <n v="451350000"/>
    <n v="301771250.00000006"/>
    <n v="278321551.27823663"/>
    <n v="320524267.0927456"/>
    <n v="0"/>
    <n v="360612500"/>
    <n v="18700"/>
    <n v="397188000"/>
    <n v="265558700.00000003"/>
    <n v="244922965.12484825"/>
    <n v="282061355.04161614"/>
    <n v="0"/>
    <n v="317339000"/>
    <x v="9"/>
    <n v="14760"/>
    <n v="3600"/>
    <n v="5256"/>
    <n v="6984"/>
  </r>
  <r>
    <n v="804"/>
    <x v="5"/>
    <s v="P7100031"/>
    <s v="MADU TJ MURNI 875 GRAM"/>
    <x v="2"/>
    <n v="81515"/>
    <n v="2387.666666666641"/>
    <n v="2364"/>
    <n v="2450.9999999999995"/>
    <n v="3965"/>
    <n v="444"/>
    <n v="12"/>
    <n v="12"/>
    <n v="0"/>
    <n v="1296"/>
    <n v="12"/>
    <n v="42"/>
    <n v="4421"/>
    <n v="54.112607099143219"/>
    <n v="1374.3999999999996"/>
    <n v="1296"/>
    <n v="1374.3999999999996"/>
    <n v="1380"/>
    <n v="42.068543451652396"/>
    <n v="112490700"/>
    <n v="194630648.33333126"/>
    <n v="192701460"/>
    <n v="199793264.99999997"/>
    <n v="0"/>
    <n v="360377815"/>
    <n v="71733"/>
    <n v="98991540"/>
    <n v="171274492.99999815"/>
    <n v="169576812"/>
    <n v="175817582.99999997"/>
    <n v="0"/>
    <n v="317131593"/>
    <x v="4"/>
    <n v="84"/>
    <n v="756"/>
    <n v="1068"/>
    <n v="1416"/>
  </r>
  <r>
    <n v="805"/>
    <x v="5"/>
    <s v="P7100032"/>
    <s v="HOTIN BALSEM OTOT EXTRA HOT 20G"/>
    <x v="2"/>
    <n v="9860"/>
    <n v="2103.6666666666488"/>
    <n v="1463"/>
    <n v="1871.3333333333333"/>
    <n v="3982"/>
    <n v="200"/>
    <n v="200"/>
    <n v="900"/>
    <n v="0"/>
    <n v="300"/>
    <n v="100"/>
    <n v="55"/>
    <n v="5082"/>
    <n v="81.471321695760608"/>
    <n v="0"/>
    <n v="0"/>
    <n v="0"/>
    <n v="0"/>
    <n v="58.017456359102248"/>
    <n v="0"/>
    <n v="20742153.333333157"/>
    <n v="14425180"/>
    <n v="18451346.666666664"/>
    <n v="0"/>
    <n v="50108520"/>
    <n v="8677"/>
    <n v="0"/>
    <n v="18253515.666666511"/>
    <n v="12694451"/>
    <n v="16237559.333333332"/>
    <n v="0"/>
    <n v="44096514"/>
    <x v="6"/>
    <n v="0"/>
    <n v="0"/>
    <n v="0"/>
    <n v="0"/>
  </r>
  <r>
    <n v="806"/>
    <x v="5"/>
    <s v="P7100033"/>
    <s v="BEBIO MINYAK TELON 60ML"/>
    <x v="2"/>
    <n v="12325"/>
    <n v="3719.6666666666729"/>
    <n v="4877"/>
    <n v="4047.3333333333335"/>
    <n v="9038"/>
    <n v="576"/>
    <n v="144"/>
    <n v="1152"/>
    <n v="0"/>
    <n v="720"/>
    <n v="144"/>
    <n v="45"/>
    <n v="10766"/>
    <n v="79.800691813539785"/>
    <n v="182"/>
    <n v="0"/>
    <n v="182"/>
    <n v="144"/>
    <n v="44.718333058804149"/>
    <n v="1774800"/>
    <n v="45844891.666666746"/>
    <n v="60109025"/>
    <n v="49883383.333333336"/>
    <n v="0"/>
    <n v="132690950"/>
    <n v="10846"/>
    <n v="1561824"/>
    <n v="40343504.666666731"/>
    <n v="52895942"/>
    <n v="43897377.333333336"/>
    <n v="0"/>
    <n v="116768036"/>
    <x v="7"/>
    <n v="144"/>
    <n v="0"/>
    <n v="0"/>
    <n v="0"/>
  </r>
  <r>
    <n v="807"/>
    <x v="5"/>
    <s v="P7100034"/>
    <s v="BEBIO MINYAK TELON PLUS 60ML"/>
    <x v="3"/>
    <n v="13175"/>
    <n v="27015.333333333503"/>
    <n v="39368"/>
    <n v="29708.666666666661"/>
    <n v="64241"/>
    <n v="5472"/>
    <n v="432"/>
    <n v="15408"/>
    <n v="0"/>
    <n v="2016"/>
    <n v="144"/>
    <n v="45"/>
    <n v="85121"/>
    <n v="85.9557256019568"/>
    <n v="0"/>
    <n v="0"/>
    <n v="0"/>
    <n v="0"/>
    <n v="46.201669546484766"/>
    <n v="0"/>
    <n v="355927016.66666889"/>
    <n v="518673400"/>
    <n v="391411683.33333325"/>
    <n v="0"/>
    <n v="1121469175"/>
    <n v="11594"/>
    <n v="0"/>
    <n v="313215774.66666865"/>
    <n v="456432592"/>
    <n v="344442281.33333325"/>
    <n v="0"/>
    <n v="986892874"/>
    <x v="7"/>
    <n v="0"/>
    <n v="0"/>
    <n v="0"/>
    <n v="0"/>
  </r>
  <r>
    <n v="808"/>
    <x v="5"/>
    <s v="P7100036"/>
    <s v="HOTIN ORIGINAL TUBE 30G"/>
    <x v="2"/>
    <n v="7990"/>
    <n v="18943.333333333416"/>
    <n v="11652"/>
    <n v="18959.666666666668"/>
    <n v="25090"/>
    <n v="3700"/>
    <n v="300"/>
    <n v="2100"/>
    <n v="0"/>
    <n v="3300"/>
    <n v="100"/>
    <n v="40"/>
    <n v="30890"/>
    <n v="48.877441586525777"/>
    <n v="6041.5555555555547"/>
    <n v="1500"/>
    <n v="6041.5555555555547"/>
    <n v="6000"/>
    <n v="39.934246382671986"/>
    <n v="47940000"/>
    <n v="151357233.333334"/>
    <n v="93099480"/>
    <n v="151487736.66666669"/>
    <n v="0"/>
    <n v="246811100"/>
    <n v="7031"/>
    <n v="42186000"/>
    <n v="133190576.66666725"/>
    <n v="81925212"/>
    <n v="133305416.33333334"/>
    <n v="0"/>
    <n v="217187590"/>
    <x v="6"/>
    <n v="4500"/>
    <n v="200"/>
    <n v="900"/>
    <n v="1400"/>
  </r>
  <r>
    <n v="809"/>
    <x v="5"/>
    <s v="P7100037"/>
    <s v="HOTIN STRONG TUBE 30G"/>
    <x v="2"/>
    <n v="7990"/>
    <n v="17717.000000000015"/>
    <n v="11507"/>
    <n v="16869.666666666668"/>
    <n v="25012"/>
    <n v="3500"/>
    <n v="400"/>
    <n v="1900"/>
    <n v="0"/>
    <n v="2700"/>
    <n v="100"/>
    <n v="40"/>
    <n v="30412"/>
    <n v="54.082870635657684"/>
    <n v="3587.8888888888905"/>
    <n v="1200"/>
    <n v="3587.8888888888905"/>
    <n v="3600"/>
    <n v="40.021537671165206"/>
    <n v="28764000"/>
    <n v="141558830.00000012"/>
    <n v="91940930"/>
    <n v="134788636.66666669"/>
    <n v="0"/>
    <n v="242991880"/>
    <n v="7031"/>
    <n v="25311600"/>
    <n v="124568227.0000001"/>
    <n v="80905717"/>
    <n v="118610626.33333334"/>
    <n v="0"/>
    <n v="213826772"/>
    <x v="6"/>
    <n v="2400"/>
    <n v="100"/>
    <n v="500"/>
    <n v="1100"/>
  </r>
  <r>
    <n v="810"/>
    <x v="5"/>
    <s v="P7100038"/>
    <s v="TJ JOYBUMIN 200 ML"/>
    <x v="2"/>
    <n v="28900"/>
    <n v="375.66666666666674"/>
    <n v="417"/>
    <n v="386.66666666666669"/>
    <n v="6457"/>
    <n v="0"/>
    <n v="0"/>
    <n v="24"/>
    <n v="0"/>
    <n v="0"/>
    <n v="24"/>
    <n v="42"/>
    <n v="6481"/>
    <n v="502.83620689655169"/>
    <n v="0"/>
    <n v="0"/>
    <n v="0"/>
    <n v="0"/>
    <n v="470.48275862068965"/>
    <n v="0"/>
    <n v="10856766.66666667"/>
    <n v="12051300"/>
    <n v="11174666.666666668"/>
    <n v="0"/>
    <n v="187300900"/>
    <n v="25432"/>
    <n v="0"/>
    <n v="9553954.6666666679"/>
    <n v="10605144"/>
    <n v="9833706.6666666679"/>
    <n v="0"/>
    <n v="164824792"/>
    <x v="4"/>
    <n v="0"/>
    <n v="0"/>
    <n v="0"/>
    <n v="0"/>
  </r>
  <r>
    <n v="811"/>
    <x v="5"/>
    <s v="P7100041"/>
    <s v="FRESHCARE SMASH FRUITY"/>
    <x v="4"/>
    <n v="9826"/>
    <n v="589407.66666666407"/>
    <n v="827000"/>
    <n v="627508.33333333337"/>
    <n v="1300"/>
    <n v="128016"/>
    <n v="33120"/>
    <n v="0"/>
    <n v="0"/>
    <n v="180720"/>
    <n v="144"/>
    <n v="55"/>
    <n v="129316"/>
    <n v="6.1823561440087111"/>
    <n v="1848115.9444444445"/>
    <n v="213840"/>
    <n v="1848115.9444444445"/>
    <n v="1848096"/>
    <n v="54.999046493406453"/>
    <n v="18159391296"/>
    <n v="5791519732.6666412"/>
    <n v="8126102000"/>
    <n v="6165896883.333334"/>
    <n v="0"/>
    <n v="1270659016"/>
    <n v="8647"/>
    <n v="15980486112"/>
    <n v="5096608093.6666441"/>
    <n v="7151069000"/>
    <n v="5426064558.333334"/>
    <n v="0"/>
    <n v="1118195452"/>
    <x v="8"/>
    <n v="1634256"/>
    <n v="0"/>
    <n v="0"/>
    <n v="0"/>
  </r>
  <r>
    <n v="812"/>
    <x v="5"/>
    <s v="P7100042"/>
    <s v="MINYAK URUT WAHID BPU  50ML"/>
    <x v="4"/>
    <n v="10540"/>
    <n v="1148.9999999999934"/>
    <n v="1786"/>
    <n v="1519.3333333333333"/>
    <n v="9825"/>
    <n v="0"/>
    <n v="0"/>
    <n v="0"/>
    <n v="0"/>
    <n v="900"/>
    <n v="100"/>
    <n v="55"/>
    <n v="9825"/>
    <n v="193.99956121105748"/>
    <n v="0"/>
    <n v="900"/>
    <n v="0"/>
    <n v="0"/>
    <n v="158.7340939008337"/>
    <n v="0"/>
    <n v="12110459.999999931"/>
    <n v="18824440"/>
    <n v="16013773.333333332"/>
    <n v="0"/>
    <n v="103555500"/>
    <n v="9275"/>
    <n v="0"/>
    <n v="10656974.999999939"/>
    <n v="16565150"/>
    <n v="14091816.666666666"/>
    <n v="0"/>
    <n v="91126875"/>
    <x v="5"/>
    <n v="-900"/>
    <n v="0"/>
    <n v="0"/>
    <n v="0"/>
  </r>
  <r>
    <n v="813"/>
    <x v="5"/>
    <s v="P7100043"/>
    <s v="HOTIN COOL GEL TUBE 50G"/>
    <x v="2"/>
    <n v="15300"/>
    <n v="3686.3333333333253"/>
    <n v="4288"/>
    <n v="4343.6666666666679"/>
    <n v="5845"/>
    <n v="1200"/>
    <n v="200"/>
    <n v="300"/>
    <n v="0"/>
    <n v="1800"/>
    <n v="100"/>
    <n v="40"/>
    <n v="7345"/>
    <n v="50.729030772772603"/>
    <n v="2734.5555555555566"/>
    <n v="1700"/>
    <n v="2734.5555555555566"/>
    <n v="2700"/>
    <n v="39.761338347018636"/>
    <n v="41310000"/>
    <n v="56400899.999999881"/>
    <n v="65606400"/>
    <n v="66458100.000000015"/>
    <n v="0"/>
    <n v="112378500"/>
    <n v="13464"/>
    <n v="36352800"/>
    <n v="49632791.999999888"/>
    <n v="57733632"/>
    <n v="58483128.000000015"/>
    <n v="0"/>
    <n v="98893080"/>
    <x v="6"/>
    <n v="1000"/>
    <n v="1200"/>
    <n v="1700"/>
    <n v="2000"/>
  </r>
  <r>
    <n v="814"/>
    <x v="5"/>
    <s v="P7100044"/>
    <s v="FRESHCARE VAPOBALM MATCHA 10G"/>
    <x v="3"/>
    <n v="9826"/>
    <n v="233564.00000000079"/>
    <n v="375068"/>
    <n v="268473"/>
    <n v="494988"/>
    <n v="34992"/>
    <n v="5472"/>
    <n v="31104"/>
    <n v="0"/>
    <n v="96192"/>
    <n v="144"/>
    <n v="55"/>
    <n v="561084"/>
    <n v="62.697254472516796"/>
    <n v="306184.5"/>
    <n v="70560"/>
    <n v="306184.5"/>
    <n v="306144"/>
    <n v="54.995474405247457"/>
    <n v="3008170944"/>
    <n v="2294999864.0000076"/>
    <n v="3685418168"/>
    <n v="2638015698"/>
    <n v="0"/>
    <n v="5513211384"/>
    <n v="8647"/>
    <n v="2647227168"/>
    <n v="2019627908.0000067"/>
    <n v="3243212996"/>
    <n v="2321486031"/>
    <n v="0"/>
    <n v="4851693348"/>
    <x v="8"/>
    <n v="235584"/>
    <n v="18576"/>
    <n v="42336"/>
    <n v="66672"/>
  </r>
  <r>
    <n v="815"/>
    <x v="5"/>
    <s v="P7100045"/>
    <s v="BEBIO FACE &amp; BODY BABY SERUM 80G"/>
    <x v="3"/>
    <n v="20825"/>
    <n v="42030.000000000298"/>
    <n v="51608"/>
    <n v="45480.333333333328"/>
    <n v="49137"/>
    <n v="8304"/>
    <n v="5712"/>
    <n v="28320"/>
    <n v="0"/>
    <n v="16368"/>
    <n v="48"/>
    <n v="45"/>
    <n v="85761"/>
    <n v="56.570165859235864"/>
    <n v="34067.5"/>
    <n v="0"/>
    <n v="34067.5"/>
    <n v="34080"/>
    <n v="45.008245322153904"/>
    <n v="709716000"/>
    <n v="875274750.0000062"/>
    <n v="1074736600"/>
    <n v="947127941.66666651"/>
    <n v="0"/>
    <n v="1785972825"/>
    <n v="18326"/>
    <n v="624550080"/>
    <n v="770241780.00000548"/>
    <n v="945768208"/>
    <n v="833472588.66666663"/>
    <n v="0"/>
    <n v="1571656086"/>
    <x v="7"/>
    <n v="34080"/>
    <n v="0"/>
    <n v="0"/>
    <n v="0"/>
  </r>
  <r>
    <n v="816"/>
    <x v="5"/>
    <s v="P7100046"/>
    <s v="FRESHCARE VAPOBALM SAKURA 10G"/>
    <x v="3"/>
    <n v="9826"/>
    <n v="350742.33333333279"/>
    <n v="547464"/>
    <n v="374378.33333333326"/>
    <n v="757018"/>
    <n v="98352"/>
    <n v="9216"/>
    <n v="13248"/>
    <n v="0"/>
    <n v="73728"/>
    <n v="144"/>
    <n v="55"/>
    <n v="868618"/>
    <n v="69.604829339304729"/>
    <n v="365206.27777777752"/>
    <n v="69696"/>
    <n v="365206.27777777752"/>
    <n v="365184"/>
    <n v="54.998214818343314"/>
    <n v="3588297984"/>
    <n v="3446394167.3333278"/>
    <n v="5379381264"/>
    <n v="3678641503.3333325"/>
    <n v="0"/>
    <n v="8535040468"/>
    <n v="8647"/>
    <n v="3157746048"/>
    <n v="3032868956.3333287"/>
    <n v="4733921208"/>
    <n v="3237249448.3333325"/>
    <n v="0"/>
    <n v="7510939846"/>
    <x v="8"/>
    <n v="295488"/>
    <n v="24480"/>
    <n v="42912"/>
    <n v="61488"/>
  </r>
  <r>
    <n v="817"/>
    <x v="5"/>
    <s v="P7100047"/>
    <s v="FRESHCARE SMASH SAKURA"/>
    <x v="4"/>
    <n v="9826"/>
    <n v="742584.3333333336"/>
    <n v="1173000"/>
    <n v="877726.66666666674"/>
    <n v="1378497"/>
    <n v="249840"/>
    <n v="51120"/>
    <n v="51168"/>
    <n v="0"/>
    <n v="319392"/>
    <n v="144"/>
    <n v="55"/>
    <n v="1679505"/>
    <n v="57.404146317380494"/>
    <n v="1102660.555555556"/>
    <n v="319344"/>
    <n v="1102660.555555556"/>
    <n v="1102608"/>
    <n v="54.998203692873254"/>
    <n v="10834226208"/>
    <n v="7296633659.3333359"/>
    <n v="11525898000"/>
    <n v="8624542226.6666679"/>
    <n v="0"/>
    <n v="16502816130"/>
    <n v="8647"/>
    <n v="9534251376"/>
    <n v="6421126730.3333359"/>
    <n v="10142931000"/>
    <n v="7589702486.666667"/>
    <n v="0"/>
    <n v="14522679735"/>
    <x v="8"/>
    <n v="783264"/>
    <n v="109824"/>
    <n v="190176"/>
    <n v="269808"/>
  </r>
  <r>
    <n v="818"/>
    <x v="5"/>
    <s v="P7100048"/>
    <s v="PROZLEEP DIPHENHYDRAMINE HCI 25 MG"/>
    <x v="3"/>
    <n v="10000"/>
    <n v="14607.999999999991"/>
    <n v="13698"/>
    <n v="12161"/>
    <n v="31231"/>
    <n v="1800"/>
    <n v="0"/>
    <n v="720"/>
    <n v="0"/>
    <n v="3120"/>
    <n v="120"/>
    <n v="55"/>
    <n v="33751"/>
    <n v="83.260422662609983"/>
    <n v="2242.1666666666642"/>
    <n v="2400"/>
    <n v="2400"/>
    <n v="2400"/>
    <n v="55.389359427678642"/>
    <n v="24000000"/>
    <n v="146079999.99999991"/>
    <n v="136980000"/>
    <n v="121610000"/>
    <n v="0"/>
    <n v="337510000"/>
    <n v="8800"/>
    <n v="21120000"/>
    <n v="128550399.99999993"/>
    <n v="120542400"/>
    <n v="107016800"/>
    <n v="0"/>
    <n v="297008800"/>
    <x v="3"/>
    <n v="0"/>
    <n v="1320"/>
    <n v="2280"/>
    <n v="2880"/>
  </r>
  <r>
    <n v="819"/>
    <x v="5"/>
    <s v="P7100049"/>
    <s v="FRESHLIVING ZAITUN BODY SERUM 80 GR"/>
    <x v="4"/>
    <n v="17000"/>
    <n v="800.33333333333053"/>
    <n v="382"/>
    <n v="879.66666666666674"/>
    <n v="7102"/>
    <n v="240"/>
    <n v="0"/>
    <n v="0"/>
    <n v="0"/>
    <n v="288"/>
    <n v="48"/>
    <n v="55"/>
    <n v="7342"/>
    <n v="250.39029935581658"/>
    <n v="0"/>
    <n v="288"/>
    <n v="0"/>
    <n v="0"/>
    <n v="237.36263736263734"/>
    <n v="0"/>
    <n v="13605666.666666619"/>
    <n v="6494000"/>
    <n v="14954333.333333334"/>
    <n v="0"/>
    <n v="124814000"/>
    <n v="14960"/>
    <n v="0"/>
    <n v="11972986.666666625"/>
    <n v="5714720"/>
    <n v="13159813.333333334"/>
    <n v="0"/>
    <n v="109836320"/>
    <x v="10"/>
    <n v="-288"/>
    <n v="0"/>
    <n v="0"/>
    <n v="0"/>
  </r>
  <r>
    <n v="820"/>
    <x v="5"/>
    <s v="P7100050"/>
    <s v="FRESHCARE SAKURA MATCHA BOX"/>
    <x v="4"/>
    <n v="39304"/>
    <n v="6984"/>
    <n v="15400"/>
    <n v="10085.333333333332"/>
    <n v="0"/>
    <n v="0"/>
    <n v="0"/>
    <n v="0"/>
    <n v="0"/>
    <n v="2976"/>
    <n v="24"/>
    <n v="55"/>
    <n v="0"/>
    <n v="0"/>
    <n v="33889.777777777774"/>
    <n v="2976"/>
    <n v="33889.777777777774"/>
    <n v="33888"/>
    <n v="54.994711792702276"/>
    <n v="1331933952"/>
    <n v="274499136"/>
    <n v="605281600"/>
    <n v="396393941.33333331"/>
    <n v="0"/>
    <n v="0"/>
    <n v="34588"/>
    <n v="1172118144"/>
    <n v="241562592"/>
    <n v="532655200"/>
    <n v="348831509.33333331"/>
    <n v="0"/>
    <n v="0"/>
    <x v="8"/>
    <n v="30912"/>
    <n v="0"/>
    <n v="0"/>
    <n v="0"/>
  </r>
  <r>
    <n v="821"/>
    <x v="5"/>
    <s v="P7100051"/>
    <s v="BEBIO SMOOTHIE HAIR SERUM 50ML"/>
    <x v="4"/>
    <n v="20825"/>
    <n v="1182.3333333333321"/>
    <n v="1856"/>
    <n v="1753"/>
    <n v="6340"/>
    <n v="816"/>
    <n v="0"/>
    <n v="0"/>
    <n v="0"/>
    <n v="1104"/>
    <n v="48"/>
    <n v="45"/>
    <n v="7156"/>
    <n v="122.46434683399885"/>
    <n v="0"/>
    <n v="1104"/>
    <n v="1104"/>
    <n v="1104"/>
    <n v="109.59498003422704"/>
    <n v="22990800"/>
    <n v="24622091.666666642"/>
    <n v="38651200"/>
    <n v="36506225"/>
    <n v="0"/>
    <n v="149023700"/>
    <n v="18326"/>
    <n v="20231904"/>
    <n v="21667440.666666646"/>
    <n v="34013056"/>
    <n v="32125478"/>
    <n v="0"/>
    <n v="131140856"/>
    <x v="7"/>
    <n v="0"/>
    <n v="0"/>
    <n v="0"/>
    <n v="0"/>
  </r>
  <r>
    <n v="822"/>
    <x v="5"/>
    <s v="P7100052"/>
    <s v="BEBIO CLOUD CIDDLE BABY COLOGNE100M"/>
    <x v="4"/>
    <n v="22015"/>
    <n v="852.66666666666572"/>
    <n v="1308"/>
    <n v="1240.6666666666667"/>
    <n v="6879"/>
    <n v="0"/>
    <n v="605"/>
    <n v="0"/>
    <n v="2904"/>
    <n v="726"/>
    <n v="121"/>
    <n v="45"/>
    <n v="6879"/>
    <n v="166.33799032778077"/>
    <n v="0"/>
    <n v="0"/>
    <n v="0"/>
    <n v="0"/>
    <n v="204.93014508328855"/>
    <n v="0"/>
    <n v="18771456.666666646"/>
    <n v="28795620"/>
    <n v="27313276.666666668"/>
    <n v="63931560"/>
    <n v="151441185"/>
    <n v="19373"/>
    <n v="0"/>
    <n v="16518711.333333315"/>
    <n v="25339884"/>
    <n v="24035435.333333336"/>
    <n v="56259192"/>
    <n v="133266867"/>
    <x v="7"/>
    <n v="0"/>
    <n v="0"/>
    <n v="0"/>
    <n v="0"/>
  </r>
  <r>
    <n v="823"/>
    <x v="5"/>
    <s v="P7100053"/>
    <s v="HOTIN DCL ZERO TUBE 60G"/>
    <x v="4"/>
    <n v="17170"/>
    <n v="1071.6666666666702"/>
    <n v="321"/>
    <n v="1178.6666666666667"/>
    <n v="36591"/>
    <n v="0"/>
    <n v="0"/>
    <n v="10000"/>
    <n v="0"/>
    <n v="0"/>
    <n v="100"/>
    <n v="55"/>
    <n v="46591"/>
    <n v="1185.8569004524886"/>
    <n v="0"/>
    <n v="0"/>
    <n v="0"/>
    <n v="0"/>
    <n v="1177.6866515837103"/>
    <n v="0"/>
    <n v="18400516.666666728"/>
    <n v="5511570"/>
    <n v="20237706.666666668"/>
    <n v="0"/>
    <n v="799967470"/>
    <n v="15110"/>
    <n v="0"/>
    <n v="16192883.333333386"/>
    <n v="4850310"/>
    <n v="17809653.333333336"/>
    <n v="0"/>
    <n v="703990010"/>
    <x v="6"/>
    <n v="0"/>
    <n v="0"/>
    <n v="0"/>
    <n v="0"/>
  </r>
  <r>
    <n v="824"/>
    <x v="5"/>
    <s v="P71BLTL2"/>
    <s v="BALSEM TELON TJ 20 GR"/>
    <x v="3"/>
    <n v="8330"/>
    <n v="74146.999999999913"/>
    <n v="49655.690548118211"/>
    <n v="52954.230182706073"/>
    <n v="119400"/>
    <n v="7200"/>
    <n v="0"/>
    <n v="37728"/>
    <n v="0"/>
    <n v="576"/>
    <n v="288"/>
    <n v="55"/>
    <n v="164328"/>
    <n v="93.096245247844237"/>
    <n v="0"/>
    <n v="0"/>
    <n v="0"/>
    <n v="0"/>
    <n v="64.96495693898224"/>
    <n v="0"/>
    <n v="617644509.99999928"/>
    <n v="413631902.26582468"/>
    <n v="441108737.42194158"/>
    <n v="0"/>
    <n v="1368852240"/>
    <n v="7330"/>
    <n v="0"/>
    <n v="543497509.9999994"/>
    <n v="363976211.7177065"/>
    <n v="388154507.23923552"/>
    <n v="0"/>
    <n v="1204524240"/>
    <x v="11"/>
    <n v="0"/>
    <n v="0"/>
    <n v="0"/>
    <n v="0"/>
  </r>
  <r>
    <n v="825"/>
    <x v="5"/>
    <s v="P71BLTL4"/>
    <s v="BALSEM TELON TJ 40 GR"/>
    <x v="3"/>
    <n v="15215"/>
    <n v="29482.333333333387"/>
    <n v="20069.082385608635"/>
    <n v="20837.694128536212"/>
    <n v="45351"/>
    <n v="3888"/>
    <n v="0"/>
    <n v="12384"/>
    <n v="0"/>
    <n v="144"/>
    <n v="144"/>
    <n v="55"/>
    <n v="61623"/>
    <n v="88.718549595576832"/>
    <n v="0"/>
    <n v="0"/>
    <n v="0"/>
    <n v="0"/>
    <n v="59.825118880335161"/>
    <n v="0"/>
    <n v="448573701.66666746"/>
    <n v="305351088.49703538"/>
    <n v="317045516.16567844"/>
    <n v="0"/>
    <n v="937593945"/>
    <n v="13389"/>
    <n v="0"/>
    <n v="394738961.00000072"/>
    <n v="268704944.06091404"/>
    <n v="278995886.68697137"/>
    <n v="0"/>
    <n v="825070347"/>
    <x v="11"/>
    <n v="0"/>
    <n v="0"/>
    <n v="0"/>
    <n v="0"/>
  </r>
  <r>
    <n v="826"/>
    <x v="5"/>
    <s v="P71FCGTL"/>
    <s v="FRESH CARE GREEN TEA 10 ML"/>
    <x v="3"/>
    <n v="9826"/>
    <n v="110325.33333333411"/>
    <n v="180608"/>
    <n v="137520"/>
    <n v="180448"/>
    <n v="18576"/>
    <n v="3888"/>
    <n v="10944"/>
    <n v="0"/>
    <n v="100800"/>
    <n v="144"/>
    <n v="55"/>
    <n v="209968"/>
    <n v="45.804537521815007"/>
    <n v="222760"/>
    <n v="93744"/>
    <n v="222760"/>
    <n v="222768"/>
    <n v="55.001745200698082"/>
    <n v="2188918368"/>
    <n v="1084056725.3333411"/>
    <n v="1774654208"/>
    <n v="1351271520"/>
    <n v="0"/>
    <n v="2063145568"/>
    <n v="8647"/>
    <n v="1926274896"/>
    <n v="953983157.33334005"/>
    <n v="1561717376"/>
    <n v="1189135440"/>
    <n v="0"/>
    <n v="1815593296"/>
    <x v="8"/>
    <n v="129024"/>
    <n v="41328"/>
    <n v="66528"/>
    <n v="91728"/>
  </r>
  <r>
    <n v="827"/>
    <x v="5"/>
    <s v="P71FCLMT"/>
    <s v="FRESH CARE CITRUS 10 ML"/>
    <x v="3"/>
    <n v="9826"/>
    <n v="466772.00000000204"/>
    <n v="759000"/>
    <n v="538537.33333333337"/>
    <n v="754977"/>
    <n v="114192"/>
    <n v="30672"/>
    <n v="47952"/>
    <n v="0"/>
    <n v="325440"/>
    <n v="144"/>
    <n v="55"/>
    <n v="917121"/>
    <n v="51.08954996620475"/>
    <n v="829197.4444444445"/>
    <n v="308160"/>
    <n v="829197.4444444445"/>
    <n v="829152"/>
    <n v="54.997468451583671"/>
    <n v="8147247552"/>
    <n v="4586501672.00002"/>
    <n v="7457934000"/>
    <n v="5291667837.333334"/>
    <n v="0"/>
    <n v="9011630946"/>
    <n v="8647"/>
    <n v="7169677344"/>
    <n v="4036177484.0000176"/>
    <n v="6563073000"/>
    <n v="4656732321.333334"/>
    <n v="0"/>
    <n v="7930345287"/>
    <x v="8"/>
    <n v="520992"/>
    <n v="116784"/>
    <n v="198288"/>
    <n v="279792"/>
  </r>
  <r>
    <n v="828"/>
    <x v="5"/>
    <s v="P71FCLVL"/>
    <s v="FRESH CARE LAVENDER 10 ML"/>
    <x v="3"/>
    <n v="9826"/>
    <n v="195385.33333333401"/>
    <n v="288480"/>
    <n v="216070.33333333334"/>
    <n v="325398"/>
    <n v="15120"/>
    <n v="0"/>
    <n v="6768"/>
    <n v="0"/>
    <n v="138672"/>
    <n v="144"/>
    <n v="55"/>
    <n v="347286"/>
    <n v="48.218465900763796"/>
    <n v="337322.9444444445"/>
    <n v="131904"/>
    <n v="337322.9444444445"/>
    <n v="337392"/>
    <n v="55.009587927387841"/>
    <n v="3315213792"/>
    <n v="1919856285.3333399"/>
    <n v="2834604480"/>
    <n v="2123107095.3333335"/>
    <n v="0"/>
    <n v="3412432236"/>
    <n v="8647"/>
    <n v="2917428624"/>
    <n v="1689496977.3333392"/>
    <n v="2494486560"/>
    <n v="1868360172.3333335"/>
    <n v="0"/>
    <n v="3002982042"/>
    <x v="8"/>
    <n v="205488"/>
    <n v="64080"/>
    <n v="99072"/>
    <n v="133200"/>
  </r>
  <r>
    <n v="829"/>
    <x v="5"/>
    <s v="P71FCMAL"/>
    <s v="FRESH CARE STRONG 10 ML"/>
    <x v="3"/>
    <n v="9826"/>
    <n v="1696987.3333333253"/>
    <n v="2689000"/>
    <n v="2010920.333333333"/>
    <n v="2574775"/>
    <n v="489168"/>
    <n v="39744"/>
    <n v="199440"/>
    <n v="0"/>
    <n v="1311408"/>
    <n v="144"/>
    <n v="55"/>
    <n v="3263383"/>
    <n v="48.684917237729131"/>
    <n v="3112304.2777777771"/>
    <n v="1151712"/>
    <n v="2800000"/>
    <n v="2799936"/>
    <n v="50.339920643300815"/>
    <n v="27512171136"/>
    <n v="16674597537.333254"/>
    <n v="26422114000"/>
    <n v="19759303195.333332"/>
    <n v="0"/>
    <n v="32066001358"/>
    <n v="8647"/>
    <n v="24211046592"/>
    <n v="14673849471.333263"/>
    <n v="23251783000"/>
    <n v="17388428122.333332"/>
    <n v="0"/>
    <n v="28218472801"/>
    <x v="8"/>
    <n v="1648224"/>
    <n v="458064"/>
    <n v="786096"/>
    <n v="1113552"/>
  </r>
  <r>
    <n v="830"/>
    <x v="5"/>
    <s v="P71FCMCS"/>
    <s v="FRESHCARE MIX CITRUS"/>
    <x v="2"/>
    <n v="9826"/>
    <n v="4390.6666666667043"/>
    <n v="9574"/>
    <n v="5373.3333333333339"/>
    <n v="9636"/>
    <n v="144"/>
    <n v="0"/>
    <n v="0"/>
    <n v="2448"/>
    <n v="6048"/>
    <n v="144"/>
    <n v="55"/>
    <n v="9780"/>
    <n v="54.602977667493789"/>
    <n v="7197.1111111111095"/>
    <n v="3600"/>
    <n v="7197.1111111111095"/>
    <n v="7200"/>
    <n v="55.016129032258064"/>
    <n v="70747200"/>
    <n v="43142690.666667037"/>
    <n v="94074124"/>
    <n v="52798373.333333336"/>
    <n v="24054048"/>
    <n v="96098280"/>
    <n v="8647"/>
    <n v="62258400"/>
    <n v="37966094.666666992"/>
    <n v="82786378"/>
    <n v="46463213.333333336"/>
    <n v="21167856"/>
    <n v="84567660"/>
    <x v="8"/>
    <n v="3600"/>
    <n v="0"/>
    <n v="0"/>
    <n v="0"/>
  </r>
  <r>
    <n v="831"/>
    <x v="5"/>
    <s v="P71FCMKP"/>
    <s v="FRESHCARE MINYAK ANGIN KAYU PUTIH"/>
    <x v="3"/>
    <n v="9826"/>
    <n v="48321.666666666548"/>
    <n v="80759"/>
    <n v="60934"/>
    <n v="80629"/>
    <n v="8640"/>
    <n v="3312"/>
    <n v="2448"/>
    <n v="0"/>
    <n v="45792"/>
    <n v="144"/>
    <n v="55"/>
    <n v="91717"/>
    <n v="45.155578166540849"/>
    <n v="100754.33333333331"/>
    <n v="46656"/>
    <n v="100754.33333333331"/>
    <n v="100800"/>
    <n v="55.022483342633009"/>
    <n v="990460800"/>
    <n v="474808696.66666549"/>
    <n v="793537934"/>
    <n v="598737484"/>
    <n v="0"/>
    <n v="901211242"/>
    <n v="8647"/>
    <n v="871617600"/>
    <n v="417837451.66666561"/>
    <n v="698323073"/>
    <n v="526896298"/>
    <n v="0"/>
    <n v="793076899"/>
    <x v="8"/>
    <n v="54144"/>
    <n v="21888"/>
    <n v="33120"/>
    <n v="44496"/>
  </r>
  <r>
    <n v="832"/>
    <x v="5"/>
    <s v="P71FCSFL"/>
    <s v="FRESH CARE SPLASH FRUITY 10 ML"/>
    <x v="3"/>
    <n v="9826"/>
    <n v="115984.66666666663"/>
    <n v="167933"/>
    <n v="131288.99999999997"/>
    <n v="182196"/>
    <n v="6768"/>
    <n v="0"/>
    <n v="4176"/>
    <n v="0"/>
    <n v="94752"/>
    <n v="144"/>
    <n v="55"/>
    <n v="193140"/>
    <n v="44.133171857505211"/>
    <n v="215489.49999999994"/>
    <n v="90576"/>
    <n v="215489.49999999994"/>
    <n v="215424"/>
    <n v="54.985033018760149"/>
    <n v="2116756224"/>
    <n v="1139665334.6666663"/>
    <n v="1650109658"/>
    <n v="1290045713.9999998"/>
    <n v="0"/>
    <n v="1897793640"/>
    <n v="8647"/>
    <n v="1862771328"/>
    <n v="1002919412.6666664"/>
    <n v="1452116651"/>
    <n v="1135255982.9999998"/>
    <n v="0"/>
    <n v="1670081580"/>
    <x v="8"/>
    <n v="124848"/>
    <n v="45216"/>
    <n v="68688"/>
    <n v="92592"/>
  </r>
  <r>
    <n v="833"/>
    <x v="5"/>
    <s v="P71FCSPT"/>
    <s v="FRESH CARE SPORT 10 ML"/>
    <x v="3"/>
    <n v="9826"/>
    <n v="30007.333333333347"/>
    <n v="56225"/>
    <n v="41180.000000000007"/>
    <n v="63311"/>
    <n v="4896"/>
    <n v="0"/>
    <n v="5040"/>
    <n v="0"/>
    <n v="27216"/>
    <n v="144"/>
    <n v="55"/>
    <n v="73247"/>
    <n v="53.361097620203971"/>
    <n v="58474.666666666686"/>
    <n v="22176"/>
    <n v="58474.666666666686"/>
    <n v="58464"/>
    <n v="54.992229237493916"/>
    <n v="574467264"/>
    <n v="294852057.33333349"/>
    <n v="552466850"/>
    <n v="404634680.00000006"/>
    <n v="0"/>
    <n v="719725022"/>
    <n v="8647"/>
    <n v="505538208"/>
    <n v="259473411.33333346"/>
    <n v="486177575"/>
    <n v="356083460.00000006"/>
    <n v="0"/>
    <n v="633366809"/>
    <x v="8"/>
    <n v="36288"/>
    <n v="10224"/>
    <n v="16704"/>
    <n v="23184"/>
  </r>
  <r>
    <n v="834"/>
    <x v="5"/>
    <s v="P71FCSWA"/>
    <s v="FRESH CARE SANDALWOOD 10 ML"/>
    <x v="3"/>
    <n v="9826"/>
    <n v="18582.333333333358"/>
    <n v="33578"/>
    <n v="24676.666666666672"/>
    <n v="36649"/>
    <n v="2160"/>
    <n v="720"/>
    <n v="1296"/>
    <n v="0"/>
    <n v="19872"/>
    <n v="144"/>
    <n v="55"/>
    <n v="40105"/>
    <n v="48.756585168175057"/>
    <n v="38713.555555555562"/>
    <n v="19296"/>
    <n v="38713.555555555562"/>
    <n v="38736"/>
    <n v="55.027286235309994"/>
    <n v="380619936"/>
    <n v="182590007.33333358"/>
    <n v="329937428"/>
    <n v="242472926.66666672"/>
    <n v="0"/>
    <n v="394071730"/>
    <n v="8647"/>
    <n v="334950192"/>
    <n v="160681436.33333355"/>
    <n v="290348966"/>
    <n v="213379136.66666672"/>
    <n v="0"/>
    <n v="346787935"/>
    <x v="8"/>
    <n v="19440"/>
    <n v="10080"/>
    <n v="14976"/>
    <n v="19728"/>
  </r>
  <r>
    <n v="835"/>
    <x v="5"/>
    <s v="P71FCTBG"/>
    <s v="FRESHCARE TEENS BUBBLE GUM"/>
    <x v="2"/>
    <n v="7854"/>
    <n v="9012.99999999998"/>
    <n v="16573"/>
    <n v="11324.666666666666"/>
    <n v="22809"/>
    <n v="2304"/>
    <n v="0"/>
    <n v="1152"/>
    <n v="0"/>
    <n v="2736"/>
    <n v="144"/>
    <n v="55"/>
    <n v="26265"/>
    <n v="69.578206864072541"/>
    <n v="11069.888888888891"/>
    <n v="1584"/>
    <n v="11069.888888888891"/>
    <n v="11088"/>
    <n v="55.047977865426503"/>
    <n v="87085152"/>
    <n v="70788101.999999836"/>
    <n v="130164342"/>
    <n v="88943932"/>
    <n v="0"/>
    <n v="206285310"/>
    <n v="6912"/>
    <n v="76640256"/>
    <n v="62297855.999999858"/>
    <n v="114552576"/>
    <n v="78276096"/>
    <n v="0"/>
    <n v="181543680"/>
    <x v="8"/>
    <n v="9504"/>
    <n v="720"/>
    <n v="1440"/>
    <n v="1872"/>
  </r>
  <r>
    <n v="836"/>
    <x v="5"/>
    <s v="P71FCTHC"/>
    <s v="FRESHCARE TEENS HAPPY CHERRY"/>
    <x v="2"/>
    <n v="7854"/>
    <n v="13600.33333333327"/>
    <n v="22168"/>
    <n v="14737.333333333334"/>
    <n v="32182"/>
    <n v="2304"/>
    <n v="0"/>
    <n v="144"/>
    <n v="0"/>
    <n v="4176"/>
    <n v="144"/>
    <n v="55"/>
    <n v="34630"/>
    <n v="70.494435899755715"/>
    <n v="14556.444444444445"/>
    <n v="4032"/>
    <n v="14556.444444444445"/>
    <n v="14544"/>
    <n v="54.974667511082963"/>
    <n v="114228576"/>
    <n v="106817017.99999951"/>
    <n v="174107472"/>
    <n v="115747016"/>
    <n v="0"/>
    <n v="271984020"/>
    <n v="6912"/>
    <n v="100528128"/>
    <n v="94005503.999999568"/>
    <n v="153225216"/>
    <n v="101864448"/>
    <n v="0"/>
    <n v="239362560"/>
    <x v="8"/>
    <n v="10512"/>
    <n v="3024"/>
    <n v="3600"/>
    <n v="4320"/>
  </r>
  <r>
    <n v="837"/>
    <x v="5"/>
    <s v="P71FCTPF"/>
    <s v="FRESHCARE TEENS PASSION FRUIT"/>
    <x v="2"/>
    <n v="7854"/>
    <n v="4132.6666666666742"/>
    <n v="8584"/>
    <n v="5669.0000000000009"/>
    <n v="13782"/>
    <n v="720"/>
    <n v="0"/>
    <n v="432"/>
    <n v="0"/>
    <n v="2160"/>
    <n v="144"/>
    <n v="55"/>
    <n v="14934"/>
    <n v="79.02981125418944"/>
    <n v="4043.1666666666679"/>
    <n v="1728"/>
    <n v="4043.1666666666679"/>
    <n v="4032"/>
    <n v="54.940906685482439"/>
    <n v="31667328"/>
    <n v="32457964.00000006"/>
    <n v="67418736"/>
    <n v="44524326.000000007"/>
    <n v="0"/>
    <n v="117291636"/>
    <n v="6912"/>
    <n v="27869184"/>
    <n v="28564992.000000052"/>
    <n v="59332608"/>
    <n v="39184128.000000007"/>
    <n v="0"/>
    <n v="103223808"/>
    <x v="8"/>
    <n v="2304"/>
    <n v="1008"/>
    <n v="1440"/>
    <n v="1728"/>
  </r>
  <r>
    <n v="838"/>
    <x v="5"/>
    <s v="P71FLMZ5"/>
    <s v="FL MINYAK ZAITUN 50 ML"/>
    <x v="3"/>
    <n v="8160"/>
    <n v="104923.00000000022"/>
    <n v="106407"/>
    <n v="104385.33333333336"/>
    <n v="135581"/>
    <n v="18144"/>
    <n v="0"/>
    <n v="1392"/>
    <n v="0"/>
    <n v="47304"/>
    <n v="72"/>
    <n v="55"/>
    <n v="155117"/>
    <n v="44.58011342589635"/>
    <n v="142663.11111111112"/>
    <n v="45912"/>
    <n v="45912"/>
    <n v="45936"/>
    <n v="27.200947770440283"/>
    <n v="374837760"/>
    <n v="856171680.00000179"/>
    <n v="868281120"/>
    <n v="851784320.00000024"/>
    <n v="0"/>
    <n v="1265754720"/>
    <n v="7180.8"/>
    <n v="329857228.80000001"/>
    <n v="753431078.40000165"/>
    <n v="764087385.60000002"/>
    <n v="749570201.60000014"/>
    <n v="0"/>
    <n v="1113864153.6000001"/>
    <x v="10"/>
    <n v="24"/>
    <n v="23232"/>
    <n v="34824"/>
    <n v="46776"/>
  </r>
  <r>
    <n v="839"/>
    <x v="5"/>
    <s v="P71FPRSB"/>
    <s v="FRESHCARE PRESS &amp; RELAX STRONG"/>
    <x v="3"/>
    <n v="9826"/>
    <n v="50186.333333333387"/>
    <n v="52940"/>
    <n v="43049.333333333343"/>
    <n v="60771"/>
    <n v="20592"/>
    <n v="3312"/>
    <n v="8208"/>
    <n v="0"/>
    <n v="11088"/>
    <n v="144"/>
    <n v="55"/>
    <n v="89571"/>
    <n v="62.419781955585819"/>
    <n v="42292.77777777781"/>
    <n v="6192"/>
    <n v="42292.77777777781"/>
    <n v="42336"/>
    <n v="55.030120481927696"/>
    <n v="415993536"/>
    <n v="493130911.33333385"/>
    <n v="520188440"/>
    <n v="423002749.33333343"/>
    <n v="0"/>
    <n v="880124646"/>
    <n v="8647"/>
    <n v="366079392"/>
    <n v="433961224.33333379"/>
    <n v="457772180"/>
    <n v="372247585.33333343"/>
    <n v="0"/>
    <n v="774520437"/>
    <x v="8"/>
    <n v="36144"/>
    <n v="0"/>
    <n v="1008"/>
    <n v="4032"/>
  </r>
  <r>
    <n v="840"/>
    <x v="5"/>
    <s v="P71HCATA"/>
    <s v="HOTIN CREAM AROMATHERAPY TUBE 60 G"/>
    <x v="3"/>
    <n v="15300"/>
    <n v="38482.000000000022"/>
    <n v="25634"/>
    <n v="37999.333333333336"/>
    <n v="39473"/>
    <n v="7400"/>
    <n v="1800"/>
    <n v="15200"/>
    <n v="0"/>
    <n v="15100"/>
    <n v="100"/>
    <n v="40"/>
    <n v="62073"/>
    <n v="49.00585975192547"/>
    <n v="14226.777777777781"/>
    <n v="1700"/>
    <n v="14226.777777777781"/>
    <n v="14200"/>
    <n v="39.978859278232946"/>
    <n v="217260000"/>
    <n v="588774600.00000036"/>
    <n v="392200200"/>
    <n v="581389800"/>
    <n v="0"/>
    <n v="949716900"/>
    <n v="13464"/>
    <n v="191188800"/>
    <n v="518121648.0000003"/>
    <n v="345136176"/>
    <n v="511623024.00000006"/>
    <n v="0"/>
    <n v="835750872"/>
    <x v="6"/>
    <n v="12500"/>
    <n v="0"/>
    <n v="0"/>
    <n v="700"/>
  </r>
  <r>
    <n v="841"/>
    <x v="5"/>
    <s v="P71HCATB"/>
    <s v="HOTIN CREAM AROMATHERAPY TUBE 120G"/>
    <x v="3"/>
    <n v="25500"/>
    <n v="14877.33333333329"/>
    <n v="9890"/>
    <n v="14490.333333333332"/>
    <n v="17967"/>
    <n v="4700"/>
    <n v="700"/>
    <n v="5510"/>
    <n v="0"/>
    <n v="3900"/>
    <n v="100"/>
    <n v="40"/>
    <n v="28177"/>
    <n v="58.336132134066389"/>
    <n v="1033.4444444444416"/>
    <n v="0"/>
    <n v="1033.4444444444416"/>
    <n v="1000"/>
    <n v="39.930758436658927"/>
    <n v="25500000"/>
    <n v="379371999.99999893"/>
    <n v="252195000"/>
    <n v="369503499.99999994"/>
    <n v="0"/>
    <n v="718513500"/>
    <n v="22440"/>
    <n v="22440000"/>
    <n v="333847359.99999905"/>
    <n v="221931600"/>
    <n v="325163080"/>
    <n v="0"/>
    <n v="632291880"/>
    <x v="6"/>
    <n v="1000"/>
    <n v="0"/>
    <n v="0"/>
    <n v="0"/>
  </r>
  <r>
    <n v="842"/>
    <x v="5"/>
    <s v="P71HCS60"/>
    <s v="HOTIN CREAM STRONG 60 GR"/>
    <x v="3"/>
    <n v="12070"/>
    <n v="45367.333333333467"/>
    <n v="36597"/>
    <n v="47601.333333333328"/>
    <n v="62098"/>
    <n v="12000"/>
    <n v="300"/>
    <n v="2300"/>
    <n v="0"/>
    <n v="25700"/>
    <n v="100"/>
    <n v="40"/>
    <n v="76398"/>
    <n v="48.148651298282964"/>
    <n v="23667.444444444438"/>
    <n v="23700"/>
    <n v="23700"/>
    <n v="23700"/>
    <n v="40.020517632559319"/>
    <n v="286059000"/>
    <n v="547583713.33333492"/>
    <n v="441725790"/>
    <n v="574548093.33333325"/>
    <n v="0"/>
    <n v="922123860"/>
    <n v="10622"/>
    <n v="251741400"/>
    <n v="481891814.66666806"/>
    <n v="388733334"/>
    <n v="505621362.66666663"/>
    <n v="0"/>
    <n v="811499556"/>
    <x v="6"/>
    <n v="0"/>
    <n v="11100"/>
    <n v="17700"/>
    <n v="24100"/>
  </r>
  <r>
    <n v="843"/>
    <x v="5"/>
    <s v="P71HCT12"/>
    <s v="HOTIN CREAM TUBE 120 GR"/>
    <x v="3"/>
    <n v="25500"/>
    <n v="63546.000000000444"/>
    <n v="48447"/>
    <n v="65249.333333333321"/>
    <n v="71693"/>
    <n v="11400"/>
    <n v="1800"/>
    <n v="37700"/>
    <n v="0"/>
    <n v="24700"/>
    <n v="100"/>
    <n v="40"/>
    <n v="120793"/>
    <n v="55.537578928009488"/>
    <n v="14653.111111111095"/>
    <n v="0"/>
    <n v="14653.111111111095"/>
    <n v="14700"/>
    <n v="40.021558330097889"/>
    <n v="374850000"/>
    <n v="1620423000.0000112"/>
    <n v="1235398500"/>
    <n v="1663857999.9999998"/>
    <n v="0"/>
    <n v="3080221500"/>
    <n v="22440"/>
    <n v="329868000"/>
    <n v="1425972240.00001"/>
    <n v="1087150680"/>
    <n v="1464195039.9999998"/>
    <n v="0"/>
    <n v="2710594920"/>
    <x v="6"/>
    <n v="14700"/>
    <n v="0"/>
    <n v="0"/>
    <n v="0"/>
  </r>
  <r>
    <n v="844"/>
    <x v="5"/>
    <s v="P71HCT60"/>
    <s v="HOTIN CREAM TUBE 60 GR"/>
    <x v="3"/>
    <n v="15300"/>
    <n v="277643.99999999953"/>
    <n v="194723"/>
    <n v="266045.33333333337"/>
    <n v="291519"/>
    <n v="43500"/>
    <n v="16700"/>
    <n v="73000"/>
    <n v="17500"/>
    <n v="77300"/>
    <n v="100"/>
    <n v="40"/>
    <n v="408019"/>
    <n v="46.009339260476906"/>
    <n v="123931.11111111112"/>
    <n v="3500"/>
    <n v="100000"/>
    <n v="100000"/>
    <n v="37.301462407409261"/>
    <n v="1530000000"/>
    <n v="4247953199.9999928"/>
    <n v="2979261900"/>
    <n v="4070493600.0000005"/>
    <n v="267750000"/>
    <n v="6242690700"/>
    <n v="13464"/>
    <n v="1346400000"/>
    <n v="3738198815.9999938"/>
    <n v="2621750472"/>
    <n v="3582034368.0000005"/>
    <n v="235620000"/>
    <n v="5493567816"/>
    <x v="6"/>
    <n v="96500"/>
    <n v="0"/>
    <n v="0"/>
    <n v="0"/>
  </r>
  <r>
    <n v="845"/>
    <x v="5"/>
    <s v="P71HDCLD"/>
    <s v="HOTIN DCL 120 GR"/>
    <x v="3"/>
    <n v="28560"/>
    <n v="68645.666666666628"/>
    <n v="54803"/>
    <n v="72307.333333333328"/>
    <n v="0"/>
    <n v="4200"/>
    <n v="300"/>
    <n v="0"/>
    <n v="0"/>
    <n v="34700"/>
    <n v="100"/>
    <n v="40"/>
    <n v="4200"/>
    <n v="1.7425618425056013"/>
    <n v="147012.77777777775"/>
    <n v="35000"/>
    <n v="120000"/>
    <n v="120000"/>
    <n v="28.792515281990763"/>
    <n v="3427200000"/>
    <n v="1960520239.9999988"/>
    <n v="1565173680"/>
    <n v="2065097439.9999998"/>
    <n v="0"/>
    <n v="119952000"/>
    <n v="25133"/>
    <n v="3015960000"/>
    <n v="1725271540.3333323"/>
    <n v="1377363799"/>
    <n v="1817300208.6666665"/>
    <n v="0"/>
    <n v="105558600"/>
    <x v="6"/>
    <n v="85000"/>
    <n v="0"/>
    <n v="0"/>
    <n v="0"/>
  </r>
  <r>
    <n v="846"/>
    <x v="5"/>
    <s v="P71HOKYA"/>
    <s v="HOTIN KOYO AROMATHERAPY"/>
    <x v="2"/>
    <n v="10080"/>
    <n v="-228.66666666666669"/>
    <n v="0"/>
    <n v="-119.66666666666666"/>
    <n v="0"/>
    <n v="0"/>
    <n v="0"/>
    <n v="0"/>
    <n v="0"/>
    <n v="0"/>
    <n v="144"/>
    <n v="55"/>
    <n v="0"/>
    <n v="0"/>
    <n v="0"/>
    <n v="0"/>
    <n v="0"/>
    <n v="0"/>
    <n v="0"/>
    <n v="0"/>
    <n v="-2304960"/>
    <n v="0"/>
    <n v="-1206240"/>
    <n v="0"/>
    <n v="0"/>
    <n v="8870"/>
    <n v="0"/>
    <n v="-2028273.3333333335"/>
    <n v="0"/>
    <n v="-1061443.3333333333"/>
    <n v="0"/>
    <n v="0"/>
    <x v="6"/>
    <n v="0"/>
    <n v="0"/>
    <n v="0"/>
    <n v="0"/>
  </r>
  <r>
    <n v="847"/>
    <x v="5"/>
    <s v="P71HOSTT"/>
    <s v="HOTIN STRONG TUBE 120 GR"/>
    <x v="3"/>
    <n v="25500"/>
    <n v="66239.333333332877"/>
    <n v="45758"/>
    <n v="67180"/>
    <n v="61315"/>
    <n v="13100"/>
    <n v="900"/>
    <n v="26104"/>
    <n v="0"/>
    <n v="30000"/>
    <n v="100"/>
    <n v="40"/>
    <n v="100519"/>
    <n v="44.887913069365879"/>
    <n v="34812.333333333314"/>
    <n v="4796"/>
    <n v="34812.333333333314"/>
    <n v="34800"/>
    <n v="39.994492408454896"/>
    <n v="887400000"/>
    <n v="1689102999.9999883"/>
    <n v="1166829000"/>
    <n v="1713090000"/>
    <n v="0"/>
    <n v="2563234500"/>
    <n v="22440"/>
    <n v="780912000"/>
    <n v="1486410639.9999897"/>
    <n v="1026809520"/>
    <n v="1507519200"/>
    <n v="0"/>
    <n v="2255646360"/>
    <x v="6"/>
    <n v="30004"/>
    <n v="0"/>
    <n v="0"/>
    <n v="4696"/>
  </r>
  <r>
    <n v="848"/>
    <x v="5"/>
    <s v="P71HOTD3"/>
    <s v="HOTIN DCL 30 GR"/>
    <x v="3"/>
    <n v="11390"/>
    <n v="51309.999999999964"/>
    <n v="44339"/>
    <n v="53907.666666666679"/>
    <n v="86590"/>
    <n v="7900"/>
    <n v="300"/>
    <n v="29800"/>
    <n v="0"/>
    <n v="16100"/>
    <n v="100"/>
    <n v="40"/>
    <n v="124290"/>
    <n v="69.168269201041269"/>
    <n v="0"/>
    <n v="0"/>
    <n v="0"/>
    <n v="0"/>
    <n v="44.493300272688479"/>
    <n v="0"/>
    <n v="584420899.99999964"/>
    <n v="505021210"/>
    <n v="614008323.33333349"/>
    <n v="0"/>
    <n v="1415663100"/>
    <n v="10023"/>
    <n v="0"/>
    <n v="514280129.99999964"/>
    <n v="444409797"/>
    <n v="540316543.00000012"/>
    <n v="0"/>
    <n v="1245758670"/>
    <x v="6"/>
    <n v="0"/>
    <n v="0"/>
    <n v="0"/>
    <n v="0"/>
  </r>
  <r>
    <n v="849"/>
    <x v="5"/>
    <s v="P71HOTD6"/>
    <s v="HOTIN DCL 60 GR"/>
    <x v="3"/>
    <n v="17170"/>
    <n v="117572.00000000026"/>
    <n v="91488"/>
    <n v="121293"/>
    <n v="147541"/>
    <n v="16600"/>
    <n v="600"/>
    <n v="68000"/>
    <n v="0"/>
    <n v="38600"/>
    <n v="100"/>
    <n v="40"/>
    <n v="232141"/>
    <n v="57.416586282802797"/>
    <n v="21071"/>
    <n v="0"/>
    <n v="21071"/>
    <n v="21100"/>
    <n v="40.007172714006579"/>
    <n v="362287000"/>
    <n v="2018711240.0000045"/>
    <n v="1570848960"/>
    <n v="2082600810"/>
    <n v="0"/>
    <n v="3985860970"/>
    <n v="15110"/>
    <n v="318821000"/>
    <n v="1776512920.0000041"/>
    <n v="1382383680"/>
    <n v="1832737230"/>
    <n v="0"/>
    <n v="3507650510"/>
    <x v="6"/>
    <n v="21100"/>
    <n v="0"/>
    <n v="0"/>
    <n v="0"/>
  </r>
  <r>
    <n v="850"/>
    <x v="5"/>
    <s v="P71HSBLA"/>
    <s v="HOTIN STRONG BOTOL 120 GR"/>
    <x v="3"/>
    <n v="22865"/>
    <n v="49424.333333333358"/>
    <n v="33384"/>
    <n v="45467.000000000007"/>
    <n v="82266"/>
    <n v="12200"/>
    <n v="100"/>
    <n v="41900"/>
    <n v="0"/>
    <n v="2100"/>
    <n v="100"/>
    <n v="55"/>
    <n v="136366"/>
    <n v="89.9769063276662"/>
    <n v="0"/>
    <n v="0"/>
    <n v="0"/>
    <n v="0"/>
    <n v="67.949501836496793"/>
    <n v="0"/>
    <n v="1130087381.6666672"/>
    <n v="763325160"/>
    <n v="1039602955.0000001"/>
    <n v="0"/>
    <n v="3118008590"/>
    <n v="20121"/>
    <n v="0"/>
    <n v="994467011.00000048"/>
    <n v="671719464"/>
    <n v="914841507.00000012"/>
    <n v="0"/>
    <n v="2743820286"/>
    <x v="6"/>
    <n v="0"/>
    <n v="0"/>
    <n v="0"/>
    <n v="0"/>
  </r>
  <r>
    <n v="851"/>
    <x v="5"/>
    <s v="P71HSGTA"/>
    <s v="HOTIN STRONG TUBE 60 GR"/>
    <x v="3"/>
    <n v="15300"/>
    <n v="180548.00000000017"/>
    <n v="133701"/>
    <n v="180692.33333333334"/>
    <n v="170482"/>
    <n v="20200"/>
    <n v="8500"/>
    <n v="120020"/>
    <n v="0"/>
    <n v="73400"/>
    <n v="100"/>
    <n v="40"/>
    <n v="310702"/>
    <n v="51.585254493365326"/>
    <n v="63922.111111111124"/>
    <n v="0"/>
    <n v="50000"/>
    <n v="50000"/>
    <n v="37.688538713134847"/>
    <n v="765000000"/>
    <n v="2762384400.0000029"/>
    <n v="2045625300"/>
    <n v="2764592700"/>
    <n v="0"/>
    <n v="4753740600"/>
    <n v="13464"/>
    <n v="673200000"/>
    <n v="2430898272.0000024"/>
    <n v="1800150264"/>
    <n v="2432841576"/>
    <n v="0"/>
    <n v="4183291728"/>
    <x v="6"/>
    <n v="50000"/>
    <n v="0"/>
    <n v="0"/>
    <n v="0"/>
  </r>
  <r>
    <n v="852"/>
    <x v="5"/>
    <s v="P71HTA60"/>
    <s v="HOTIN AROMATHERAPY 60 GR"/>
    <x v="2"/>
    <n v="12070"/>
    <n v="14721.333333333278"/>
    <n v="11453"/>
    <n v="14421.000000000002"/>
    <n v="21457"/>
    <n v="7600"/>
    <n v="300"/>
    <n v="2500"/>
    <n v="0"/>
    <n v="7300"/>
    <n v="100"/>
    <n v="40"/>
    <n v="31557"/>
    <n v="65.648013313917204"/>
    <n v="0"/>
    <n v="5100"/>
    <n v="5100"/>
    <n v="5100"/>
    <n v="52.431870189307254"/>
    <n v="61557000"/>
    <n v="177686493.33333266"/>
    <n v="138237710"/>
    <n v="174061470.00000003"/>
    <n v="0"/>
    <n v="380892990"/>
    <n v="10622"/>
    <n v="54172200"/>
    <n v="156370002.66666606"/>
    <n v="121653766"/>
    <n v="153179862.00000003"/>
    <n v="0"/>
    <n v="335198454"/>
    <x v="6"/>
    <n v="0"/>
    <n v="1500"/>
    <n v="3300"/>
    <n v="4900"/>
  </r>
  <r>
    <n v="853"/>
    <x v="5"/>
    <s v="P71HTC60"/>
    <s v="HOTIN CREAM 60 GR"/>
    <x v="3"/>
    <n v="12070"/>
    <n v="54168.666666666511"/>
    <n v="44678"/>
    <n v="55269"/>
    <n v="66639"/>
    <n v="16300"/>
    <n v="100"/>
    <n v="32300"/>
    <n v="0"/>
    <n v="20500"/>
    <n v="100"/>
    <n v="40"/>
    <n v="115239"/>
    <n v="62.551701677251266"/>
    <n v="3131"/>
    <n v="0"/>
    <n v="3131"/>
    <n v="3100"/>
    <n v="39.983173207403787"/>
    <n v="37417000"/>
    <n v="653815806.66666484"/>
    <n v="539263460"/>
    <n v="667096830"/>
    <n v="0"/>
    <n v="1390934730"/>
    <n v="10622"/>
    <n v="32928200"/>
    <n v="575379577.3333317"/>
    <n v="474569716"/>
    <n v="587067318"/>
    <n v="0"/>
    <n v="1224068658"/>
    <x v="6"/>
    <n v="3100"/>
    <n v="0"/>
    <n v="0"/>
    <n v="0"/>
  </r>
  <r>
    <n v="854"/>
    <x v="5"/>
    <s v="P71HTNC2"/>
    <s v="HOTIN CREAM 120 GR"/>
    <x v="3"/>
    <n v="22865"/>
    <n v="85458.666666666992"/>
    <n v="69844"/>
    <n v="81170.666666666657"/>
    <n v="119106"/>
    <n v="25200"/>
    <n v="100"/>
    <n v="51400"/>
    <n v="0"/>
    <n v="16000"/>
    <n v="100"/>
    <n v="40"/>
    <n v="195706"/>
    <n v="72.331301948158611"/>
    <n v="0"/>
    <n v="0"/>
    <n v="0"/>
    <n v="0"/>
    <n v="46.517543283287893"/>
    <n v="0"/>
    <n v="1954012413.3333409"/>
    <n v="1596983060"/>
    <n v="1855967293.333333"/>
    <n v="0"/>
    <n v="4474817690"/>
    <n v="20121"/>
    <n v="0"/>
    <n v="1719513832.0000064"/>
    <n v="1405331124"/>
    <n v="1633234983.9999998"/>
    <n v="0"/>
    <n v="3937800426"/>
    <x v="6"/>
    <n v="0"/>
    <n v="0"/>
    <n v="0"/>
    <n v="0"/>
  </r>
  <r>
    <n v="855"/>
    <x v="5"/>
    <s v="P71HTNC3"/>
    <s v="HOTIN CREAM AROMATHERAPY 120 GR"/>
    <x v="3"/>
    <n v="22865"/>
    <n v="11938.000000000069"/>
    <n v="10571"/>
    <n v="12229"/>
    <n v="19310"/>
    <n v="4900"/>
    <n v="200"/>
    <n v="2300"/>
    <n v="0"/>
    <n v="6100"/>
    <n v="100"/>
    <n v="40"/>
    <n v="26510"/>
    <n v="65.033935726551647"/>
    <n v="366.33333333333212"/>
    <n v="4000"/>
    <n v="4000"/>
    <n v="4000"/>
    <n v="48.914056750347534"/>
    <n v="91460000"/>
    <n v="272962370.00000161"/>
    <n v="241705915"/>
    <n v="279616085"/>
    <n v="0"/>
    <n v="606151150"/>
    <n v="20121"/>
    <n v="80484000"/>
    <n v="240204498.0000014"/>
    <n v="212699091"/>
    <n v="246059709"/>
    <n v="0"/>
    <n v="533407710"/>
    <x v="6"/>
    <n v="0"/>
    <n v="1200"/>
    <n v="2500"/>
    <n v="4000"/>
  </r>
  <r>
    <n v="856"/>
    <x v="5"/>
    <s v="P71JBM21"/>
    <s v="TJ JOYBEE ORIGINAL 100 ML"/>
    <x v="3"/>
    <n v="11815"/>
    <n v="38095.666666666715"/>
    <n v="38019"/>
    <n v="39655.333333333328"/>
    <n v="52631"/>
    <n v="7464"/>
    <n v="1272"/>
    <n v="1392"/>
    <n v="0"/>
    <n v="10440"/>
    <n v="24"/>
    <n v="42"/>
    <n v="61487"/>
    <n v="46.516063413076012"/>
    <n v="32049.46666666666"/>
    <n v="10320"/>
    <n v="32049.46666666666"/>
    <n v="32040"/>
    <n v="41.992838289931584"/>
    <n v="378552600"/>
    <n v="450100301.66666722"/>
    <n v="449194485"/>
    <n v="468527763.33333325"/>
    <n v="0"/>
    <n v="726468905"/>
    <n v="10397"/>
    <n v="333119880"/>
    <n v="396080646.33333385"/>
    <n v="395283543"/>
    <n v="412296500.66666663"/>
    <n v="0"/>
    <n v="639280339"/>
    <x v="4"/>
    <n v="21720"/>
    <n v="4104"/>
    <n v="6672"/>
    <n v="9288"/>
  </r>
  <r>
    <n v="857"/>
    <x v="5"/>
    <s v="P71JGRW2"/>
    <s v="TJ JOYBEE GROW EMULSION 200ML"/>
    <x v="3"/>
    <n v="20570"/>
    <n v="9266.3333333333067"/>
    <n v="8092"/>
    <n v="8456.3333333333339"/>
    <n v="9137"/>
    <n v="168"/>
    <n v="1920"/>
    <n v="6840"/>
    <n v="0"/>
    <n v="4512"/>
    <n v="24"/>
    <n v="42"/>
    <n v="16145"/>
    <n v="57.276597422050529"/>
    <n v="3785.8666666666686"/>
    <n v="0"/>
    <n v="3785.8666666666686"/>
    <n v="3792"/>
    <n v="42.021758839528559"/>
    <n v="78001440"/>
    <n v="190608476.66666612"/>
    <n v="166452440"/>
    <n v="173946776.66666669"/>
    <n v="0"/>
    <n v="332102650"/>
    <n v="18102"/>
    <n v="68642784"/>
    <n v="167739165.99999952"/>
    <n v="146481384"/>
    <n v="153076546"/>
    <n v="0"/>
    <n v="292256790"/>
    <x v="4"/>
    <n v="3792"/>
    <n v="0"/>
    <n v="0"/>
    <n v="0"/>
  </r>
  <r>
    <n v="858"/>
    <x v="5"/>
    <s v="P71JOMS1"/>
    <s v="TJ JOYBEE STRAWBERRY 100 ML"/>
    <x v="3"/>
    <n v="11815"/>
    <n v="21083.666666666708"/>
    <n v="21216"/>
    <n v="22180.333333333332"/>
    <n v="26287"/>
    <n v="4200"/>
    <n v="1032"/>
    <n v="1512"/>
    <n v="0"/>
    <n v="9096"/>
    <n v="24"/>
    <n v="42"/>
    <n v="31999"/>
    <n v="43.280233239656759"/>
    <n v="20269.46666666666"/>
    <n v="8616"/>
    <n v="20269.46666666666"/>
    <n v="20280"/>
    <n v="42.014246855322284"/>
    <n v="239608200"/>
    <n v="249103521.66666716"/>
    <n v="250667040"/>
    <n v="262060638.33333331"/>
    <n v="0"/>
    <n v="378068185"/>
    <n v="10397"/>
    <n v="210851160"/>
    <n v="219206882.33333376"/>
    <n v="220582752"/>
    <n v="230608925.66666666"/>
    <n v="0"/>
    <n v="332693603"/>
    <x v="4"/>
    <n v="11664"/>
    <n v="3336"/>
    <n v="5592"/>
    <n v="7872"/>
  </r>
  <r>
    <n v="859"/>
    <x v="5"/>
    <s v="P71MAN25"/>
    <s v="MADU TJ MANUKA 250 GR"/>
    <x v="2"/>
    <n v="42925"/>
    <n v="49.999999999999901"/>
    <n v="82"/>
    <n v="68.999999999999986"/>
    <n v="172"/>
    <n v="0"/>
    <n v="0"/>
    <n v="0"/>
    <n v="0"/>
    <n v="132"/>
    <n v="12"/>
    <n v="42"/>
    <n v="172"/>
    <n v="74.782608695652186"/>
    <n v="6.5999999999999659"/>
    <n v="132"/>
    <n v="6.5999999999999659"/>
    <n v="12"/>
    <n v="44.34782608695653"/>
    <n v="515100"/>
    <n v="2146249.9999999958"/>
    <n v="3519850"/>
    <n v="2961824.9999999995"/>
    <n v="0"/>
    <n v="7383100"/>
    <n v="37774"/>
    <n v="453288"/>
    <n v="1888699.9999999963"/>
    <n v="3097468"/>
    <n v="2606405.9999999995"/>
    <n v="0"/>
    <n v="6497128"/>
    <x v="4"/>
    <n v="-120"/>
    <n v="0"/>
    <n v="0"/>
    <n v="0"/>
  </r>
  <r>
    <n v="860"/>
    <x v="5"/>
    <s v="P71MDJPD"/>
    <s v="MADU TJ PANAS DALAM 150GR"/>
    <x v="3"/>
    <n v="20315"/>
    <n v="25826.333333333288"/>
    <n v="27758"/>
    <n v="29431.999999999996"/>
    <n v="0"/>
    <n v="5136"/>
    <n v="624"/>
    <n v="0"/>
    <n v="0"/>
    <n v="4800"/>
    <n v="48"/>
    <n v="42"/>
    <n v="5136"/>
    <n v="5.2351182386518085"/>
    <n v="63826.799999999988"/>
    <n v="5424"/>
    <n v="63826.799999999988"/>
    <n v="63840"/>
    <n v="42.013454743136727"/>
    <n v="1296909600"/>
    <n v="524661961.66666573"/>
    <n v="563903770"/>
    <n v="597911079.99999988"/>
    <n v="0"/>
    <n v="104337840"/>
    <n v="17877"/>
    <n v="1141267680"/>
    <n v="461697360.99999923"/>
    <n v="496229766"/>
    <n v="526155863.99999994"/>
    <n v="0"/>
    <n v="91816272"/>
    <x v="4"/>
    <n v="58416"/>
    <n v="0"/>
    <n v="0"/>
    <n v="960"/>
  </r>
  <r>
    <n v="861"/>
    <x v="5"/>
    <s v="P71MHP25"/>
    <s v="MADU TJ HITAM PAHIT 250 GR"/>
    <x v="3"/>
    <n v="29155"/>
    <n v="5778.9999999999927"/>
    <n v="6485"/>
    <n v="6007.9999999999991"/>
    <n v="2370"/>
    <n v="5088"/>
    <n v="1128"/>
    <n v="3528"/>
    <n v="0"/>
    <n v="3360"/>
    <n v="24"/>
    <n v="42"/>
    <n v="10986"/>
    <n v="54.856857523302274"/>
    <n v="3910.1999999999989"/>
    <n v="960"/>
    <n v="3910.1999999999989"/>
    <n v="3912"/>
    <n v="42.008988015978701"/>
    <n v="114054360"/>
    <n v="168486744.99999979"/>
    <n v="189070175"/>
    <n v="175163239.99999997"/>
    <n v="0"/>
    <n v="320296830"/>
    <n v="25656"/>
    <n v="100366272"/>
    <n v="148266023.99999982"/>
    <n v="166379160"/>
    <n v="154141247.99999997"/>
    <n v="0"/>
    <n v="281856816"/>
    <x v="4"/>
    <n v="2952"/>
    <n v="0"/>
    <n v="0"/>
    <n v="168"/>
  </r>
  <r>
    <n v="862"/>
    <x v="5"/>
    <s v="P71MJMN1"/>
    <s v="MADU TJ JAHE MERAH MINT 150 GR"/>
    <x v="3"/>
    <n v="19465"/>
    <n v="19727.333333333376"/>
    <n v="22419"/>
    <n v="20858"/>
    <n v="37596"/>
    <n v="5088"/>
    <n v="0"/>
    <n v="1248"/>
    <n v="0"/>
    <n v="4224"/>
    <n v="48"/>
    <n v="42"/>
    <n v="43932"/>
    <n v="63.187266276728351"/>
    <n v="7688.1999999999971"/>
    <n v="2976"/>
    <n v="7688.1999999999971"/>
    <n v="7680"/>
    <n v="41.988205964138466"/>
    <n v="149491200"/>
    <n v="383992543.33333415"/>
    <n v="436385835"/>
    <n v="406000970"/>
    <n v="0"/>
    <n v="855136380"/>
    <n v="17129"/>
    <n v="131550720"/>
    <n v="337909492.6666674"/>
    <n v="384015051"/>
    <n v="357276682"/>
    <n v="0"/>
    <n v="752511228"/>
    <x v="4"/>
    <n v="4704"/>
    <n v="1104"/>
    <n v="2256"/>
    <n v="3216"/>
  </r>
  <r>
    <n v="863"/>
    <x v="5"/>
    <s v="P71MJMN2"/>
    <s v="MADU TJ JAHE MERAH MINT 250 GR"/>
    <x v="2"/>
    <n v="29240"/>
    <n v="4075.9999999999818"/>
    <n v="4159"/>
    <n v="4181.6666666666661"/>
    <n v="4513"/>
    <n v="1368"/>
    <n v="48"/>
    <n v="192"/>
    <n v="0"/>
    <n v="2544"/>
    <n v="24"/>
    <n v="42"/>
    <n v="6073"/>
    <n v="43.568752491032292"/>
    <n v="3940.3333333333321"/>
    <n v="2400"/>
    <n v="3940.3333333333321"/>
    <n v="3936"/>
    <n v="41.968911917098453"/>
    <n v="115088640"/>
    <n v="119182239.99999946"/>
    <n v="121609160"/>
    <n v="122271933.33333331"/>
    <n v="0"/>
    <n v="177574520"/>
    <n v="25731"/>
    <n v="101277216"/>
    <n v="104879555.99999954"/>
    <n v="107015229"/>
    <n v="107598464.99999999"/>
    <n v="0"/>
    <n v="156264363"/>
    <x v="4"/>
    <n v="1536"/>
    <n v="1320"/>
    <n v="1872"/>
    <n v="2544"/>
  </r>
  <r>
    <n v="864"/>
    <x v="5"/>
    <s v="P71MKPL1"/>
    <s v="M. KAYU PUTIH LOS TJ 120 ML"/>
    <x v="2"/>
    <n v="33150"/>
    <n v="3190.9999999999754"/>
    <n v="2459.4077975274963"/>
    <n v="1950.8025991758323"/>
    <n v="9870"/>
    <n v="144"/>
    <n v="432"/>
    <n v="3456"/>
    <n v="0"/>
    <n v="0"/>
    <n v="144"/>
    <n v="55"/>
    <n v="13470"/>
    <n v="207.14551035082823"/>
    <n v="0"/>
    <n v="0"/>
    <n v="0"/>
    <n v="0"/>
    <n v="169.32403422761817"/>
    <n v="0"/>
    <n v="105781649.99999918"/>
    <n v="81529368.488036498"/>
    <n v="64669106.162678838"/>
    <n v="0"/>
    <n v="446530500"/>
    <n v="29172"/>
    <n v="0"/>
    <n v="93087851.999999285"/>
    <n v="71745844.269472122"/>
    <n v="56908813.423157379"/>
    <n v="0"/>
    <n v="392946840"/>
    <x v="11"/>
    <n v="0"/>
    <n v="0"/>
    <n v="0"/>
    <n v="0"/>
  </r>
  <r>
    <n v="865"/>
    <x v="5"/>
    <s v="P71MKPL3"/>
    <s v="M. KAYU PUTIH LOS TJ 30 ML"/>
    <x v="2"/>
    <n v="9690"/>
    <n v="703"/>
    <n v="728.61275964681795"/>
    <n v="645.87091988227257"/>
    <n v="4613"/>
    <n v="0"/>
    <n v="0"/>
    <n v="0"/>
    <n v="0"/>
    <n v="0"/>
    <n v="240"/>
    <n v="55"/>
    <n v="4613"/>
    <n v="214.26882019277988"/>
    <n v="0"/>
    <n v="0"/>
    <n v="0"/>
    <n v="0"/>
    <n v="180.42555195368837"/>
    <n v="0"/>
    <n v="6812070"/>
    <n v="7060257.6409776658"/>
    <n v="6258489.2136592213"/>
    <n v="0"/>
    <n v="44699970"/>
    <n v="8527"/>
    <n v="0"/>
    <n v="5994481"/>
    <n v="6212881.0015084166"/>
    <n v="5507341.3338361382"/>
    <n v="0"/>
    <n v="39335051"/>
    <x v="11"/>
    <n v="0"/>
    <n v="0"/>
    <n v="0"/>
    <n v="0"/>
  </r>
  <r>
    <n v="866"/>
    <x v="5"/>
    <s v="P71MKPL6"/>
    <s v="M. KAYU PUTIH LOS TJ 60 ML"/>
    <x v="2"/>
    <n v="17680"/>
    <n v="2608.0000000000059"/>
    <n v="2186.9430489409465"/>
    <n v="1781.6476829803155"/>
    <n v="7516"/>
    <n v="0"/>
    <n v="480"/>
    <n v="3600"/>
    <n v="0"/>
    <n v="0"/>
    <n v="240"/>
    <n v="55"/>
    <n v="11116"/>
    <n v="187.17505328671902"/>
    <n v="0"/>
    <n v="0"/>
    <n v="0"/>
    <n v="0"/>
    <n v="150.35054971344252"/>
    <n v="0"/>
    <n v="46109440.000000104"/>
    <n v="38665153.105275936"/>
    <n v="31499531.035091978"/>
    <n v="0"/>
    <n v="196530880"/>
    <n v="15558"/>
    <n v="0"/>
    <n v="40575264.000000089"/>
    <n v="34024459.955423243"/>
    <n v="27718874.651807748"/>
    <n v="0"/>
    <n v="172942728"/>
    <x v="11"/>
    <n v="0"/>
    <n v="0"/>
    <n v="0"/>
    <n v="0"/>
  </r>
  <r>
    <n v="867"/>
    <x v="5"/>
    <s v="P71MKT5A"/>
    <s v="MADU KURMA TJ 250 GR"/>
    <x v="3"/>
    <n v="26350"/>
    <n v="7117.6666666666115"/>
    <n v="6810"/>
    <n v="7482"/>
    <n v="10641"/>
    <n v="672"/>
    <n v="360"/>
    <n v="1320"/>
    <n v="0"/>
    <n v="2904"/>
    <n v="24"/>
    <n v="42"/>
    <n v="12633"/>
    <n v="50.653568564554931"/>
    <n v="4651.7999999999993"/>
    <n v="1944"/>
    <n v="4651.7999999999993"/>
    <n v="4656"/>
    <n v="42.0168404170008"/>
    <n v="122685600"/>
    <n v="187550516.66666523"/>
    <n v="179443500"/>
    <n v="197150700"/>
    <n v="0"/>
    <n v="332879550"/>
    <n v="23188"/>
    <n v="107963328"/>
    <n v="165044454.66666538"/>
    <n v="157910280"/>
    <n v="173492616"/>
    <n v="0"/>
    <n v="292934004"/>
    <x v="4"/>
    <n v="2712"/>
    <n v="408"/>
    <n v="1104"/>
    <n v="1824"/>
  </r>
  <r>
    <n v="868"/>
    <x v="5"/>
    <s v="P71MKTJA"/>
    <s v="MADU KURMA TJ 150 GR"/>
    <x v="3"/>
    <n v="17170"/>
    <n v="22886.666666666664"/>
    <n v="28016"/>
    <n v="25746.333333333332"/>
    <n v="46046"/>
    <n v="3360"/>
    <n v="624"/>
    <n v="3984"/>
    <n v="0"/>
    <n v="5184"/>
    <n v="48"/>
    <n v="42"/>
    <n v="53390"/>
    <n v="62.210800243400357"/>
    <n v="10670.866666666661"/>
    <n v="1824"/>
    <n v="10670.866666666661"/>
    <n v="10656"/>
    <n v="41.982677144965628"/>
    <n v="182963520"/>
    <n v="392964066.66666663"/>
    <n v="481034720"/>
    <n v="442064543.33333331"/>
    <n v="0"/>
    <n v="916706300"/>
    <n v="15110"/>
    <n v="161012160"/>
    <n v="345817533.33333331"/>
    <n v="423321760"/>
    <n v="389027096.66666663"/>
    <n v="0"/>
    <n v="806722900"/>
    <x v="4"/>
    <n v="8832"/>
    <n v="0"/>
    <n v="288"/>
    <n v="1440"/>
  </r>
  <r>
    <n v="869"/>
    <x v="5"/>
    <s v="P71MKTJB"/>
    <s v="MADU KURMA TJ 500 GR"/>
    <x v="2"/>
    <n v="48875"/>
    <n v="2436.6666666666765"/>
    <n v="2542"/>
    <n v="2565.3333333333335"/>
    <n v="4420"/>
    <n v="612"/>
    <n v="204"/>
    <n v="12"/>
    <n v="0"/>
    <n v="660"/>
    <n v="12"/>
    <n v="42"/>
    <n v="5044"/>
    <n v="58.986486486486477"/>
    <n v="1089.4666666666672"/>
    <n v="852"/>
    <n v="1089.4666666666672"/>
    <n v="1092"/>
    <n v="42.029625779625782"/>
    <n v="53371500"/>
    <n v="119092083.33333382"/>
    <n v="124240250"/>
    <n v="125380666.66666667"/>
    <n v="0"/>
    <n v="246525500"/>
    <n v="43010"/>
    <n v="46966920"/>
    <n v="104801033.33333376"/>
    <n v="109331420"/>
    <n v="110334986.66666667"/>
    <n v="0"/>
    <n v="216942440"/>
    <x v="4"/>
    <n v="240"/>
    <n v="372"/>
    <n v="540"/>
    <n v="684"/>
  </r>
  <r>
    <n v="870"/>
    <x v="5"/>
    <s v="P71MMRP5"/>
    <s v="MADU TJ MURNI POUCH 500 GR"/>
    <x v="3"/>
    <n v="40630"/>
    <n v="10099.666666666704"/>
    <n v="12475"/>
    <n v="11531.666666666666"/>
    <n v="17080"/>
    <n v="3012"/>
    <n v="864"/>
    <n v="972"/>
    <n v="0"/>
    <n v="2688"/>
    <n v="12"/>
    <n v="42"/>
    <n v="21064"/>
    <n v="54.798670328082096"/>
    <n v="7555.3333333333321"/>
    <n v="2580"/>
    <n v="7555.3333333333321"/>
    <n v="7560"/>
    <n v="42.012140482728718"/>
    <n v="307162800"/>
    <n v="410349456.66666818"/>
    <n v="506859250"/>
    <n v="468531616.66666663"/>
    <n v="0"/>
    <n v="855830320"/>
    <n v="35754"/>
    <n v="270300240"/>
    <n v="361103482.00000137"/>
    <n v="446031150"/>
    <n v="412303210"/>
    <n v="0"/>
    <n v="753122256"/>
    <x v="4"/>
    <n v="4980"/>
    <n v="456"/>
    <n v="1140"/>
    <n v="1812"/>
  </r>
  <r>
    <n v="871"/>
    <x v="5"/>
    <s v="P71MT03B"/>
    <s v="MINYAK TELON 100 ML BAND. MT 30"/>
    <x v="2"/>
    <n v="19295"/>
    <n v="67549.999999999563"/>
    <n v="56792.64030587038"/>
    <n v="48326.546768623455"/>
    <n v="118180"/>
    <n v="4140"/>
    <n v="0"/>
    <n v="57840"/>
    <n v="0"/>
    <n v="240"/>
    <n v="60"/>
    <n v="55"/>
    <n v="180160"/>
    <n v="111.83915179946452"/>
    <n v="0"/>
    <n v="0"/>
    <n v="0"/>
    <n v="0"/>
    <n v="76.58359717990065"/>
    <n v="0"/>
    <n v="1303377249.9999917"/>
    <n v="1095813994.7017689"/>
    <n v="932460719.90058959"/>
    <n v="0"/>
    <n v="3476187200"/>
    <n v="16980"/>
    <n v="0"/>
    <n v="1146998999.9999926"/>
    <n v="964339032.39367902"/>
    <n v="820584764.1312263"/>
    <n v="0"/>
    <n v="3059116800"/>
    <x v="11"/>
    <n v="0"/>
    <n v="0"/>
    <n v="0"/>
    <n v="0"/>
  </r>
  <r>
    <n v="872"/>
    <x v="5"/>
    <s v="P71MT060"/>
    <s v="MINYAK TELON TJ 60 ML"/>
    <x v="2"/>
    <n v="11560"/>
    <n v="13296.000000000067"/>
    <n v="13219.745603136907"/>
    <n v="6805.2485343789685"/>
    <n v="1040"/>
    <n v="0"/>
    <n v="0"/>
    <n v="0"/>
    <n v="0"/>
    <n v="240"/>
    <n v="240"/>
    <n v="55"/>
    <n v="1040"/>
    <n v="4.5846966267848792"/>
    <n v="24656.034582831682"/>
    <n v="240"/>
    <n v="0"/>
    <n v="0"/>
    <n v="0"/>
    <n v="0"/>
    <n v="153701760.00000077"/>
    <n v="152820259.17226264"/>
    <n v="78668673.05742088"/>
    <n v="0"/>
    <n v="12022400"/>
    <n v="10173"/>
    <n v="0"/>
    <n v="135260208.00000069"/>
    <n v="134484472.02071175"/>
    <n v="69229793.340237245"/>
    <n v="0"/>
    <n v="10579920"/>
    <x v="11"/>
    <n v="-240"/>
    <n v="0"/>
    <n v="0"/>
    <n v="0"/>
  </r>
  <r>
    <n v="873"/>
    <x v="5"/>
    <s v="P71MTJRA"/>
    <s v="MADU TJ SACHET JERUK 20 GR"/>
    <x v="3"/>
    <n v="7565"/>
    <n v="55387.000000000087"/>
    <n v="58298"/>
    <n v="49517.666666666672"/>
    <n v="103520"/>
    <n v="11640"/>
    <n v="2280"/>
    <n v="20280"/>
    <n v="0"/>
    <n v="9408"/>
    <n v="24"/>
    <n v="42"/>
    <n v="135440"/>
    <n v="82.05556266113777"/>
    <n v="0"/>
    <n v="0"/>
    <n v="0"/>
    <n v="0"/>
    <n v="46.736047067376624"/>
    <n v="0"/>
    <n v="419002655.00000066"/>
    <n v="441024370"/>
    <n v="374601148.33333337"/>
    <n v="0"/>
    <n v="1024603600"/>
    <n v="6657"/>
    <n v="0"/>
    <n v="368711259.0000006"/>
    <n v="388089786"/>
    <n v="329639107.00000006"/>
    <n v="0"/>
    <n v="901624080"/>
    <x v="4"/>
    <n v="0"/>
    <n v="0"/>
    <n v="0"/>
    <n v="0"/>
  </r>
  <r>
    <n v="874"/>
    <x v="5"/>
    <s v="P71MTJSA"/>
    <s v="MADU TJ SACHET STRAWBERRY 20 GR"/>
    <x v="3"/>
    <n v="7565"/>
    <n v="43318.000000000102"/>
    <n v="45609"/>
    <n v="39099.333333333328"/>
    <n v="79283"/>
    <n v="3384"/>
    <n v="3768"/>
    <n v="25560"/>
    <n v="0"/>
    <n v="12360"/>
    <n v="24"/>
    <n v="42"/>
    <n v="108227"/>
    <n v="83.040034783201762"/>
    <n v="0"/>
    <n v="0"/>
    <n v="0"/>
    <n v="0"/>
    <n v="48.045320465822101"/>
    <n v="0"/>
    <n v="327700670.00000077"/>
    <n v="345032085"/>
    <n v="295786456.66666663"/>
    <n v="0"/>
    <n v="818737255"/>
    <n v="6657"/>
    <n v="0"/>
    <n v="288367926.00000066"/>
    <n v="303619113"/>
    <n v="260284261.99999997"/>
    <n v="0"/>
    <n v="720467139"/>
    <x v="4"/>
    <n v="0"/>
    <n v="0"/>
    <n v="0"/>
    <n v="0"/>
  </r>
  <r>
    <n v="875"/>
    <x v="5"/>
    <s v="P71MTM15"/>
    <s v="MADU TJ MURNI 150GR"/>
    <x v="3"/>
    <n v="17170"/>
    <n v="396410.00000000128"/>
    <n v="390281"/>
    <n v="409639.33333333326"/>
    <n v="362577"/>
    <n v="81120"/>
    <n v="4824"/>
    <n v="21312"/>
    <n v="0"/>
    <n v="311328"/>
    <n v="48"/>
    <n v="42"/>
    <n v="465009"/>
    <n v="34.05500611106681"/>
    <n v="498767.06666666653"/>
    <n v="294840"/>
    <n v="498767.06666666653"/>
    <n v="498768"/>
    <n v="42.000068352811184"/>
    <n v="8563846560"/>
    <n v="6806359700.0000219"/>
    <n v="6701124770"/>
    <n v="7033507353.3333321"/>
    <n v="0"/>
    <n v="7984204530"/>
    <n v="15110"/>
    <n v="7536384480"/>
    <n v="5989755100.0000191"/>
    <n v="5897145910"/>
    <n v="6189650326.6666651"/>
    <n v="0"/>
    <n v="7026285990"/>
    <x v="4"/>
    <n v="203928"/>
    <n v="135168"/>
    <n v="212880"/>
    <n v="290784"/>
  </r>
  <r>
    <n v="876"/>
    <x v="5"/>
    <s v="P71MTM25"/>
    <s v="MADU TJ MURNI 250GR"/>
    <x v="3"/>
    <n v="26350"/>
    <n v="121166.00000000016"/>
    <n v="122589"/>
    <n v="128525.33333333333"/>
    <n v="121791"/>
    <n v="27888"/>
    <n v="12024"/>
    <n v="1704"/>
    <n v="0"/>
    <n v="80544"/>
    <n v="24"/>
    <n v="42"/>
    <n v="151383"/>
    <n v="35.335368383924312"/>
    <n v="151141.46666666667"/>
    <n v="90864"/>
    <n v="151141.46666666667"/>
    <n v="151152"/>
    <n v="42.002458659252653"/>
    <n v="3982855200"/>
    <n v="3192724100.0000043"/>
    <n v="3230220150"/>
    <n v="3386642533.333333"/>
    <n v="0"/>
    <n v="3988942050"/>
    <n v="23188"/>
    <n v="3504912576"/>
    <n v="2809597208.0000038"/>
    <n v="2842593732"/>
    <n v="2980245429.333333"/>
    <n v="0"/>
    <n v="3510269004"/>
    <x v="4"/>
    <n v="60288"/>
    <n v="38880"/>
    <n v="58968"/>
    <n v="79104"/>
  </r>
  <r>
    <n v="877"/>
    <x v="5"/>
    <s v="P71MTM5A"/>
    <s v="MADU TJ MURNI 500 GR"/>
    <x v="3"/>
    <n v="48875"/>
    <n v="83892.999999999607"/>
    <n v="90874"/>
    <n v="88730.666666666686"/>
    <n v="106268"/>
    <n v="29532"/>
    <n v="3276"/>
    <n v="8184"/>
    <n v="0"/>
    <n v="37728"/>
    <n v="12"/>
    <n v="42"/>
    <n v="143984"/>
    <n v="48.68125262968082"/>
    <n v="71112.933333333349"/>
    <n v="32820"/>
    <n v="71112.933333333349"/>
    <n v="71112"/>
    <n v="41.999684438300164"/>
    <n v="3475599000"/>
    <n v="4100270374.9999809"/>
    <n v="4441466750"/>
    <n v="4336711333.333334"/>
    <n v="0"/>
    <n v="7037218000"/>
    <n v="43010"/>
    <n v="3058527120"/>
    <n v="3608237929.9999833"/>
    <n v="3908490740"/>
    <n v="3816305973.333334"/>
    <n v="0"/>
    <n v="6192751840"/>
    <x v="4"/>
    <n v="38292"/>
    <n v="10812"/>
    <n v="20244"/>
    <n v="29688"/>
  </r>
  <r>
    <n v="878"/>
    <x v="5"/>
    <s v="P71MTS15"/>
    <s v="MADU TJ SUPER 150GR"/>
    <x v="3"/>
    <n v="19465"/>
    <n v="40124.666666666773"/>
    <n v="38017"/>
    <n v="41141.333333333343"/>
    <n v="39917"/>
    <n v="10656"/>
    <n v="2688"/>
    <n v="3168"/>
    <n v="0"/>
    <n v="22128"/>
    <n v="48"/>
    <n v="42"/>
    <n v="53741"/>
    <n v="39.187597225823168"/>
    <n v="41873.866666666669"/>
    <n v="21648"/>
    <n v="41873.866666666669"/>
    <n v="41856"/>
    <n v="41.986971739694049"/>
    <n v="814727040"/>
    <n v="781026636.66666877"/>
    <n v="740000905"/>
    <n v="800816053.33333349"/>
    <n v="0"/>
    <n v="1046068565"/>
    <n v="17129"/>
    <n v="716951424"/>
    <n v="687295415.33333516"/>
    <n v="651193193"/>
    <n v="704709898.66666687"/>
    <n v="0"/>
    <n v="920529589"/>
    <x v="4"/>
    <n v="20208"/>
    <n v="8352"/>
    <n v="14016"/>
    <n v="19536"/>
  </r>
  <r>
    <n v="879"/>
    <x v="5"/>
    <s v="P71MTS25"/>
    <s v="MADU TJ SUPER 250GR"/>
    <x v="3"/>
    <n v="29240"/>
    <n v="22054.33333333343"/>
    <n v="21086"/>
    <n v="22802.666666666668"/>
    <n v="26722"/>
    <n v="5808"/>
    <n v="528"/>
    <n v="1584"/>
    <n v="0"/>
    <n v="9000"/>
    <n v="24"/>
    <n v="42"/>
    <n v="34114"/>
    <n v="44.881592796164192"/>
    <n v="18895.733333333337"/>
    <n v="7944"/>
    <n v="18895.733333333337"/>
    <n v="18888"/>
    <n v="41.989825751374106"/>
    <n v="552285120"/>
    <n v="644868706.66666949"/>
    <n v="616554640"/>
    <n v="666749973.33333337"/>
    <n v="0"/>
    <n v="997493360"/>
    <n v="25731"/>
    <n v="486007128"/>
    <n v="567480051.0000025"/>
    <n v="542563866"/>
    <n v="586735416"/>
    <n v="0"/>
    <n v="877787334"/>
    <x v="4"/>
    <n v="10944"/>
    <n v="3192"/>
    <n v="5472"/>
    <n v="7656"/>
  </r>
  <r>
    <n v="880"/>
    <x v="5"/>
    <s v="P71MTS5A"/>
    <s v="MADU TJ SUPER 500 GR"/>
    <x v="3"/>
    <n v="51850"/>
    <n v="14240.666666666708"/>
    <n v="13454"/>
    <n v="14119"/>
    <n v="14312"/>
    <n v="5436"/>
    <n v="1286"/>
    <n v="2376"/>
    <n v="0"/>
    <n v="5280"/>
    <n v="12"/>
    <n v="42"/>
    <n v="22124"/>
    <n v="47.008994971315246"/>
    <n v="11096.599999999999"/>
    <n v="4190"/>
    <n v="11096.599999999999"/>
    <n v="11100"/>
    <n v="42.007224307670512"/>
    <n v="575535000"/>
    <n v="738378566.66666877"/>
    <n v="697589900"/>
    <n v="732070150"/>
    <n v="0"/>
    <n v="1147129400"/>
    <n v="45628"/>
    <n v="506470800"/>
    <n v="649773138.66666853"/>
    <n v="613879112"/>
    <n v="644221732"/>
    <n v="0"/>
    <n v="1009473872"/>
    <x v="4"/>
    <n v="6910"/>
    <n v="408"/>
    <n v="1740"/>
    <n v="3048"/>
  </r>
  <r>
    <n v="881"/>
    <x v="5"/>
    <s v="P71MVTCZ"/>
    <s v="MYWELL VIT C + ZN"/>
    <x v="2"/>
    <n v="7000"/>
    <n v="22942.333333333307"/>
    <n v="17915.382374314067"/>
    <n v="20570.794124771357"/>
    <n v="26982"/>
    <n v="2736"/>
    <n v="0"/>
    <n v="864"/>
    <n v="0"/>
    <n v="6192"/>
    <n v="144"/>
    <n v="50"/>
    <n v="30582"/>
    <n v="44.600125519471042"/>
    <n v="21618.039248932997"/>
    <n v="5328"/>
    <n v="21618.039248932997"/>
    <n v="21600"/>
    <n v="49.973691950602031"/>
    <n v="151200000"/>
    <n v="160596333.33333313"/>
    <n v="125407676.62019847"/>
    <n v="143995558.8733995"/>
    <n v="0"/>
    <n v="214074000"/>
    <n v="6160"/>
    <n v="133056000"/>
    <n v="141324773.33333316"/>
    <n v="110358755.42577465"/>
    <n v="126716091.80859156"/>
    <n v="0"/>
    <n v="188385120"/>
    <x v="9"/>
    <n v="16272"/>
    <n v="3600"/>
    <n v="4896"/>
    <n v="6480"/>
  </r>
  <r>
    <n v="882"/>
    <x v="5"/>
    <s v="P71MWD31"/>
    <s v="MYWELL VITAMIN D3 1000 IU"/>
    <x v="2"/>
    <n v="12750"/>
    <n v="49458.333333333161"/>
    <n v="48083.464867315124"/>
    <n v="51963.821622438372"/>
    <n v="47062"/>
    <n v="10728"/>
    <n v="3240"/>
    <n v="1296"/>
    <n v="0"/>
    <n v="22608"/>
    <n v="72"/>
    <n v="50"/>
    <n v="59086"/>
    <n v="34.111809806432454"/>
    <n v="75603.834238045732"/>
    <n v="24552"/>
    <n v="75603.834238045732"/>
    <n v="75600"/>
    <n v="49.997786399502942"/>
    <n v="963900000"/>
    <n v="630593749.99999785"/>
    <n v="613064177.05826783"/>
    <n v="662538725.68608928"/>
    <n v="0"/>
    <n v="753346500"/>
    <n v="11220"/>
    <n v="848232000"/>
    <n v="554922499.99999809"/>
    <n v="539496475.81127572"/>
    <n v="583034078.60375857"/>
    <n v="0"/>
    <n v="662944920"/>
    <x v="9"/>
    <n v="51048"/>
    <n v="10584"/>
    <n v="16200"/>
    <n v="21744"/>
  </r>
  <r>
    <n v="883"/>
    <x v="5"/>
    <s v="P71OM3T3"/>
    <s v="OM3HEART SOFTGELS 600MG - ISI 30"/>
    <x v="3"/>
    <n v="47940"/>
    <n v="8935.6666666666388"/>
    <n v="13255.002536750435"/>
    <n v="9350.3341789168135"/>
    <n v="1950"/>
    <n v="0"/>
    <n v="15"/>
    <n v="0"/>
    <n v="0"/>
    <n v="18000"/>
    <n v="48"/>
    <n v="50"/>
    <n v="1950"/>
    <n v="6.2564608794310406"/>
    <n v="26888.892834945123"/>
    <n v="18015"/>
    <n v="26888.892834945123"/>
    <n v="26880"/>
    <n v="49.971467859517226"/>
    <n v="1288627200"/>
    <n v="428375859.99999869"/>
    <n v="635444821.61181581"/>
    <n v="448255020.53727204"/>
    <n v="0"/>
    <n v="93483000"/>
    <n v="42187"/>
    <n v="1133986560"/>
    <n v="376968969.66666549"/>
    <n v="559188792.01789057"/>
    <n v="394462548.00596362"/>
    <n v="0"/>
    <n v="82264650"/>
    <x v="9"/>
    <n v="8865"/>
    <n v="0"/>
    <n v="0"/>
    <n v="0"/>
  </r>
  <r>
    <n v="884"/>
    <x v="5"/>
    <s v="P71OM3T6"/>
    <s v="OM3HEART SOFTGELS 600MG - ISI 60"/>
    <x v="3"/>
    <n v="84660"/>
    <n v="3233.3333333333385"/>
    <n v="6344.3170212725945"/>
    <n v="2896.1056737575295"/>
    <n v="539"/>
    <n v="0"/>
    <n v="0"/>
    <n v="0"/>
    <n v="0"/>
    <n v="7776"/>
    <n v="24"/>
    <n v="50"/>
    <n v="539"/>
    <n v="5.5833598015849892"/>
    <n v="10632.159810868478"/>
    <n v="7776"/>
    <n v="10632.159810868478"/>
    <n v="10632"/>
    <n v="49.998344561078085"/>
    <n v="900105120"/>
    <n v="273734000.00000042"/>
    <n v="537109879.0209378"/>
    <n v="245184306.34031245"/>
    <n v="0"/>
    <n v="45631740"/>
    <n v="74501"/>
    <n v="792094632"/>
    <n v="240886566.66666704"/>
    <n v="472657962.40182954"/>
    <n v="215762768.80060971"/>
    <n v="0"/>
    <n v="40156039"/>
    <x v="9"/>
    <n v="2856"/>
    <n v="0"/>
    <n v="0"/>
    <n v="0"/>
  </r>
  <r>
    <n v="885"/>
    <x v="5"/>
    <s v="P71PRKP1"/>
    <s v="FRESHCARE PRESS &amp; RELAX MA KAYU P"/>
    <x v="3"/>
    <n v="9826"/>
    <n v="14263.000000000005"/>
    <n v="18074"/>
    <n v="13370.333333333336"/>
    <n v="32226"/>
    <n v="1872"/>
    <n v="288"/>
    <n v="288"/>
    <n v="0"/>
    <n v="3600"/>
    <n v="144"/>
    <n v="55"/>
    <n v="34386"/>
    <n v="77.154396549574912"/>
    <n v="8200.277777777781"/>
    <n v="3600"/>
    <n v="8200.277777777781"/>
    <n v="8208"/>
    <n v="55.017326917803082"/>
    <n v="80651808"/>
    <n v="140148238.00000006"/>
    <n v="177595124"/>
    <n v="131376895.33333336"/>
    <n v="0"/>
    <n v="337876836"/>
    <n v="8647"/>
    <n v="70974576"/>
    <n v="123332161.00000004"/>
    <n v="156285878"/>
    <n v="115613272.33333336"/>
    <n v="0"/>
    <n v="297335742"/>
    <x v="8"/>
    <n v="4608"/>
    <n v="2448"/>
    <n v="3168"/>
    <n v="3888"/>
  </r>
  <r>
    <n v="886"/>
    <x v="5"/>
    <s v="P71SKTJ1"/>
    <s v="SARI KURMA TJ 250 GR"/>
    <x v="3"/>
    <n v="17170"/>
    <n v="18641.999999999935"/>
    <n v="21475"/>
    <n v="20022.000000000004"/>
    <n v="37237"/>
    <n v="3600"/>
    <n v="432"/>
    <n v="2328"/>
    <n v="0"/>
    <n v="2232"/>
    <n v="24"/>
    <n v="42"/>
    <n v="43165"/>
    <n v="64.676356008390755"/>
    <n v="6340.8000000000029"/>
    <n v="336"/>
    <n v="6340.8000000000029"/>
    <n v="6336"/>
    <n v="41.992807911297568"/>
    <n v="108789120"/>
    <n v="320083139.99999887"/>
    <n v="368725750"/>
    <n v="343777740.00000006"/>
    <n v="0"/>
    <n v="741143050"/>
    <n v="15110"/>
    <n v="95736960"/>
    <n v="281680619.99999899"/>
    <n v="324487250"/>
    <n v="302532420.00000006"/>
    <n v="0"/>
    <n v="652223150"/>
    <x v="4"/>
    <n v="6000"/>
    <n v="0"/>
    <n v="0"/>
    <n v="48"/>
  </r>
  <r>
    <n v="887"/>
    <x v="5"/>
    <s v="P71TEVIJ"/>
    <s v="TJ JOYBEE JERUK 100 ML"/>
    <x v="3"/>
    <n v="11815"/>
    <n v="41061.333333333328"/>
    <n v="44198"/>
    <n v="44041.333333333343"/>
    <n v="62999"/>
    <n v="9432"/>
    <n v="888"/>
    <n v="2496"/>
    <n v="0"/>
    <n v="8664"/>
    <n v="24"/>
    <n v="42"/>
    <n v="74927"/>
    <n v="51.0386455148194"/>
    <n v="30928.866666666669"/>
    <n v="7056"/>
    <n v="30928.866666666669"/>
    <n v="30936"/>
    <n v="42.004859071781041"/>
    <n v="365508840"/>
    <n v="485139653.33333325"/>
    <n v="522199370"/>
    <n v="520348353.33333343"/>
    <n v="0"/>
    <n v="885262505"/>
    <n v="10397"/>
    <n v="321641592"/>
    <n v="426914682.66666663"/>
    <n v="459526606"/>
    <n v="457897742.66666675"/>
    <n v="0"/>
    <n v="779016019"/>
    <x v="4"/>
    <n v="23880"/>
    <n v="2064"/>
    <n v="4200"/>
    <n v="6264"/>
  </r>
  <r>
    <n v="888"/>
    <x v="5"/>
    <s v="P71TGPC6"/>
    <s v="TELON HERBAL PLUSS CITRONELLA 60ML"/>
    <x v="2"/>
    <n v="12325"/>
    <n v="13785.333333333328"/>
    <n v="11720.728600266521"/>
    <n v="11031.242866755509"/>
    <n v="31154"/>
    <n v="240"/>
    <n v="0"/>
    <n v="22320"/>
    <n v="0"/>
    <n v="0"/>
    <n v="240"/>
    <n v="55"/>
    <n v="53714"/>
    <n v="146.07782817077512"/>
    <n v="0"/>
    <n v="0"/>
    <n v="0"/>
    <n v="0"/>
    <n v="114.20273827789761"/>
    <n v="0"/>
    <n v="169904233.33333328"/>
    <n v="144457979.99828488"/>
    <n v="135960068.33276165"/>
    <n v="0"/>
    <n v="662025050"/>
    <n v="10846"/>
    <n v="0"/>
    <n v="149515725.33333328"/>
    <n v="127123022.39849068"/>
    <n v="119644860.13283025"/>
    <n v="0"/>
    <n v="582582044"/>
    <x v="11"/>
    <n v="0"/>
    <n v="0"/>
    <n v="0"/>
    <n v="0"/>
  </r>
  <r>
    <n v="889"/>
    <x v="5"/>
    <s v="P71TGPL6"/>
    <s v="TELON HERBAL PLUSS LAVENDER 60ML"/>
    <x v="2"/>
    <n v="12325"/>
    <n v="3663.9999999999968"/>
    <n v="2766.8862996264329"/>
    <n v="2787.6287665421446"/>
    <n v="8722"/>
    <n v="0"/>
    <n v="0"/>
    <n v="720"/>
    <n v="0"/>
    <n v="240"/>
    <n v="240"/>
    <n v="55"/>
    <n v="9442"/>
    <n v="101.61324326960649"/>
    <n v="0"/>
    <n v="0"/>
    <n v="0"/>
    <n v="0"/>
    <n v="71.836470269894349"/>
    <n v="0"/>
    <n v="45158799.999999963"/>
    <n v="34101873.642895788"/>
    <n v="34357524.547631934"/>
    <n v="0"/>
    <n v="116372650"/>
    <n v="10846"/>
    <n v="0"/>
    <n v="39739743.999999963"/>
    <n v="30009648.805748291"/>
    <n v="30234621.601916101"/>
    <n v="0"/>
    <n v="102407932"/>
    <x v="11"/>
    <n v="0"/>
    <n v="0"/>
    <n v="0"/>
    <n v="0"/>
  </r>
  <r>
    <n v="890"/>
    <x v="5"/>
    <s v="P71TGPO6"/>
    <s v="TELON HERBAL PLUSS ORANGE 60ML"/>
    <x v="2"/>
    <n v="12325"/>
    <n v="3724.3333333333367"/>
    <n v="2693.469927569502"/>
    <n v="2995.4899758565002"/>
    <n v="10211"/>
    <n v="720"/>
    <n v="0"/>
    <n v="964"/>
    <n v="0"/>
    <n v="0"/>
    <n v="240"/>
    <n v="55"/>
    <n v="11895"/>
    <n v="119.12909169324325"/>
    <n v="0"/>
    <n v="0"/>
    <n v="0"/>
    <n v="0"/>
    <n v="92.153839404515168"/>
    <n v="0"/>
    <n v="45902408.333333373"/>
    <n v="33197016.857294112"/>
    <n v="36919413.952431366"/>
    <n v="0"/>
    <n v="146605875"/>
    <n v="10846"/>
    <n v="0"/>
    <n v="40394119.333333373"/>
    <n v="29213374.834418818"/>
    <n v="32489084.278139602"/>
    <n v="0"/>
    <n v="129013170"/>
    <x v="11"/>
    <n v="0"/>
    <n v="0"/>
    <n v="0"/>
    <n v="0"/>
  </r>
  <r>
    <n v="891"/>
    <x v="5"/>
    <s v="P71THPC3"/>
    <s v="THP CITRONELLA 100ML BAND. MT 30"/>
    <x v="3"/>
    <n v="22440"/>
    <n v="4760.3333333333367"/>
    <n v="3034.1660847137573"/>
    <n v="3713.3886949045859"/>
    <n v="10149"/>
    <n v="120"/>
    <n v="0"/>
    <n v="120"/>
    <n v="0"/>
    <n v="720"/>
    <n v="120"/>
    <n v="55"/>
    <n v="10389"/>
    <n v="83.931423722936771"/>
    <n v="0"/>
    <n v="600"/>
    <n v="0"/>
    <n v="0"/>
    <n v="59.418777722178817"/>
    <n v="0"/>
    <n v="106821880.00000007"/>
    <n v="68086686.940976709"/>
    <n v="83328442.313658908"/>
    <n v="0"/>
    <n v="233129160"/>
    <n v="19747"/>
    <n v="0"/>
    <n v="94002302.333333403"/>
    <n v="59915677.674842566"/>
    <n v="73328286.558280855"/>
    <n v="0"/>
    <n v="205151583"/>
    <x v="11"/>
    <n v="-600"/>
    <n v="480"/>
    <n v="600"/>
    <n v="840"/>
  </r>
  <r>
    <n v="892"/>
    <x v="5"/>
    <s v="P71TJBBG"/>
    <s v="TJ JOYBEE GUMMY"/>
    <x v="2"/>
    <n v="6460"/>
    <n v="15308.333333333374"/>
    <n v="14997"/>
    <n v="15282.333333333336"/>
    <n v="18381"/>
    <n v="1800"/>
    <n v="1680"/>
    <n v="420"/>
    <n v="0"/>
    <n v="6000"/>
    <n v="60"/>
    <n v="42"/>
    <n v="20601"/>
    <n v="40.440814011821921"/>
    <n v="15791.26666666667"/>
    <n v="7260"/>
    <n v="15791.26666666667"/>
    <n v="15780"/>
    <n v="41.977882958535993"/>
    <n v="101938800"/>
    <n v="98891833.333333597"/>
    <n v="96880620"/>
    <n v="98723873.333333343"/>
    <n v="0"/>
    <n v="133082460"/>
    <n v="5685"/>
    <n v="89709300"/>
    <n v="87027875.000000224"/>
    <n v="85257945"/>
    <n v="86880065.000000015"/>
    <n v="0"/>
    <n v="117116685"/>
    <x v="4"/>
    <n v="8520"/>
    <n v="3120"/>
    <n v="4380"/>
    <n v="5820"/>
  </r>
  <r>
    <n v="893"/>
    <x v="5"/>
    <s v="P71TJMAN"/>
    <s v="TJ MASUK ANGIN 140 GR"/>
    <x v="2"/>
    <n v="17935"/>
    <n v="3371.3333333333135"/>
    <n v="3224"/>
    <n v="3344.666666666667"/>
    <n v="7494"/>
    <n v="1152"/>
    <n v="0"/>
    <n v="0"/>
    <n v="0"/>
    <n v="336"/>
    <n v="48"/>
    <n v="42"/>
    <n v="8646"/>
    <n v="77.550328881801875"/>
    <n v="0"/>
    <n v="336"/>
    <n v="336"/>
    <n v="336"/>
    <n v="51.646402232409798"/>
    <n v="6026160"/>
    <n v="60464863.333332978"/>
    <n v="57822440"/>
    <n v="59986596.666666672"/>
    <n v="0"/>
    <n v="155066010"/>
    <n v="15783"/>
    <n v="5303088"/>
    <n v="53209753.999999687"/>
    <n v="50884392"/>
    <n v="52788874.000000007"/>
    <n v="0"/>
    <n v="136459818"/>
    <x v="4"/>
    <n v="0"/>
    <n v="0"/>
    <n v="0"/>
    <n v="0"/>
  </r>
  <r>
    <n v="894"/>
    <x v="5"/>
    <s v="P71TJMLA"/>
    <s v="MADU LEMON TJ 150 GR"/>
    <x v="3"/>
    <n v="17935"/>
    <n v="17386.999999999935"/>
    <n v="18996"/>
    <n v="17924.999999999996"/>
    <n v="29412"/>
    <n v="3408"/>
    <n v="624"/>
    <n v="1296"/>
    <n v="0"/>
    <n v="3072"/>
    <n v="48"/>
    <n v="42"/>
    <n v="34116"/>
    <n v="57.097907949790802"/>
    <n v="9974.9999999999927"/>
    <n v="2400"/>
    <n v="9974.9999999999927"/>
    <n v="9984"/>
    <n v="42.015062761506286"/>
    <n v="179063040"/>
    <n v="311835844.99999881"/>
    <n v="340693260"/>
    <n v="321484874.99999994"/>
    <n v="0"/>
    <n v="611870460"/>
    <n v="15783"/>
    <n v="157577472"/>
    <n v="274419020.99999899"/>
    <n v="299813868"/>
    <n v="282910274.99999994"/>
    <n v="0"/>
    <n v="538452828"/>
    <x v="4"/>
    <n v="7584"/>
    <n v="672"/>
    <n v="1296"/>
    <n v="2064"/>
  </r>
  <r>
    <n v="895"/>
    <x v="5"/>
    <s v="P71TJMO2"/>
    <s v="MADU TJ SACHET ORIGINAL 20 GR"/>
    <x v="3"/>
    <n v="7565"/>
    <n v="160412.33333333314"/>
    <n v="163912"/>
    <n v="143662.33333333331"/>
    <n v="245954"/>
    <n v="35736"/>
    <n v="11664"/>
    <n v="27504"/>
    <n v="0"/>
    <n v="32136"/>
    <n v="24"/>
    <n v="42"/>
    <n v="309194"/>
    <n v="64.566819880878086"/>
    <n v="55845.266666666605"/>
    <n v="16296"/>
    <n v="55845.266666666605"/>
    <n v="55848"/>
    <n v="42.000570782877446"/>
    <n v="422490120"/>
    <n v="1213519301.6666653"/>
    <n v="1239994280"/>
    <n v="1086805551.6666665"/>
    <n v="0"/>
    <n v="2339052610"/>
    <n v="6657"/>
    <n v="371780136"/>
    <n v="1067864902.9999987"/>
    <n v="1091162184"/>
    <n v="956360152.99999988"/>
    <n v="0"/>
    <n v="2058304458"/>
    <x v="4"/>
    <n v="39552"/>
    <n v="0"/>
    <n v="0"/>
    <n v="4776"/>
  </r>
  <r>
    <n v="896"/>
    <x v="5"/>
    <s v="P71WELMV"/>
    <s v="WELMOVE @5 CAP AMPLOP"/>
    <x v="3"/>
    <n v="14025"/>
    <n v="89837.999999999753"/>
    <n v="113884.92155249353"/>
    <n v="89356.307184164529"/>
    <n v="213877"/>
    <n v="11088"/>
    <n v="1440"/>
    <n v="8352"/>
    <n v="0"/>
    <n v="5328"/>
    <n v="144"/>
    <n v="50"/>
    <n v="233317"/>
    <n v="78.332579093425579"/>
    <n v="29495.100192767743"/>
    <n v="0"/>
    <n v="29495.100192767743"/>
    <n v="29520"/>
    <n v="50.00835972569265"/>
    <n v="414018000"/>
    <n v="1259977949.9999964"/>
    <n v="1597236024.7737217"/>
    <n v="1253222208.2579076"/>
    <n v="0"/>
    <n v="3272270925"/>
    <n v="12342"/>
    <n v="364335840"/>
    <n v="1108780595.9999969"/>
    <n v="1405567701.8008752"/>
    <n v="1102835543.2669587"/>
    <n v="0"/>
    <n v="2879598414"/>
    <x v="9"/>
    <n v="29520"/>
    <n v="0"/>
    <n v="0"/>
    <n v="0"/>
  </r>
  <r>
    <n v="897"/>
    <x v="5"/>
    <s v="P71WMUS5"/>
    <s v="WELMOVE ULTRA @5 CAP AMPLOP"/>
    <x v="2"/>
    <n v="14025"/>
    <n v="20764.33333333335"/>
    <n v="17467.714885900536"/>
    <n v="19616.238295300176"/>
    <n v="19171"/>
    <n v="6480"/>
    <n v="1152"/>
    <n v="2160"/>
    <n v="0"/>
    <n v="9792"/>
    <n v="144"/>
    <n v="50"/>
    <n v="27811"/>
    <n v="42.532619528785794"/>
    <n v="22350.445378067496"/>
    <n v="8784"/>
    <n v="22350.445378067496"/>
    <n v="22320"/>
    <n v="49.953438507002453"/>
    <n v="313038000"/>
    <n v="291219775.00000024"/>
    <n v="244984701.274755"/>
    <n v="275117742.09158498"/>
    <n v="0"/>
    <n v="390049275"/>
    <n v="12342"/>
    <n v="275473440"/>
    <n v="256273402.00000021"/>
    <n v="215586537.12178442"/>
    <n v="242103613.04059479"/>
    <n v="0"/>
    <n v="343243362"/>
    <x v="9"/>
    <n v="13536"/>
    <n v="4176"/>
    <n v="6192"/>
    <n v="8640"/>
  </r>
  <r>
    <n v="898"/>
    <x v="6"/>
    <s v="P9200011"/>
    <s v="03495 LINE TATOO CRY L BK AS-BLACK"/>
    <x v="1"/>
    <n v="92000"/>
    <n v="397.99999999999966"/>
    <n v="162"/>
    <n v="356.33333333333337"/>
    <n v="616"/>
    <n v="0"/>
    <n v="60"/>
    <n v="0"/>
    <n v="60"/>
    <n v="405"/>
    <n v="72"/>
    <n v="90"/>
    <n v="616"/>
    <n v="51.861552853133766"/>
    <n v="555"/>
    <n v="405"/>
    <n v="555"/>
    <n v="0"/>
    <n v="43.274087932647326"/>
    <n v="0"/>
    <n v="36615999.99999997"/>
    <n v="14904000"/>
    <n v="32782666.666666672"/>
    <n v="5520000"/>
    <n v="56672000"/>
    <n v="85100"/>
    <n v="0"/>
    <n v="33869799.99999997"/>
    <n v="13786200"/>
    <n v="30323966.666666672"/>
    <n v="5106000"/>
    <n v="52421600"/>
    <x v="0"/>
    <n v="-405"/>
    <n v="0"/>
    <n v="0"/>
    <n v="0"/>
  </r>
  <r>
    <n v="899"/>
    <x v="6"/>
    <s v="P9200012"/>
    <s v="03549 LINE TATOO CRY L DBR AS-BRWN"/>
    <x v="1"/>
    <n v="92000"/>
    <n v="202.00000000000003"/>
    <n v="71"/>
    <n v="156.33333333333334"/>
    <n v="306"/>
    <n v="0"/>
    <n v="0"/>
    <n v="0"/>
    <n v="0"/>
    <n v="111"/>
    <n v="72"/>
    <n v="90"/>
    <n v="306"/>
    <n v="58.720682302771849"/>
    <n v="234"/>
    <n v="111"/>
    <n v="234"/>
    <n v="0"/>
    <n v="45.095948827292105"/>
    <n v="0"/>
    <n v="18584000.000000004"/>
    <n v="6532000"/>
    <n v="14382666.666666668"/>
    <n v="0"/>
    <n v="28152000"/>
    <n v="85100"/>
    <n v="0"/>
    <n v="17190200.000000004"/>
    <n v="6042100"/>
    <n v="13303966.666666668"/>
    <n v="0"/>
    <n v="26040600"/>
    <x v="0"/>
    <n v="-111"/>
    <n v="0"/>
    <n v="0"/>
    <n v="0"/>
  </r>
  <r>
    <n v="900"/>
    <x v="6"/>
    <s v="P9200013"/>
    <s v="29522 TATTOO BROW 36H PEN NT BR AS"/>
    <x v="1"/>
    <n v="81900"/>
    <n v="47"/>
    <n v="6"/>
    <n v="30.333333333333332"/>
    <n v="187"/>
    <n v="0"/>
    <n v="21"/>
    <n v="0"/>
    <n v="15"/>
    <n v="6"/>
    <n v="288"/>
    <n v="90"/>
    <n v="187"/>
    <n v="184.94505494505495"/>
    <n v="0"/>
    <n v="12"/>
    <n v="12"/>
    <n v="0"/>
    <n v="193.84615384615384"/>
    <n v="0"/>
    <n v="3849300"/>
    <n v="491400"/>
    <n v="2484300"/>
    <n v="1228500"/>
    <n v="15315300"/>
    <n v="75758"/>
    <n v="0"/>
    <n v="3560626"/>
    <n v="454548"/>
    <n v="2297992.6666666665"/>
    <n v="1136370"/>
    <n v="14166746"/>
    <x v="0"/>
    <n v="-12"/>
    <n v="0"/>
    <n v="0"/>
    <n v="0"/>
  </r>
  <r>
    <n v="901"/>
    <x v="6"/>
    <s v="P9200014"/>
    <s v="29492 TATTOO BROW 36H PEN DK BR AS"/>
    <x v="1"/>
    <n v="81900"/>
    <n v="57.999999999999702"/>
    <n v="38"/>
    <n v="52.666666666666664"/>
    <n v="138"/>
    <n v="0"/>
    <n v="0"/>
    <n v="0"/>
    <n v="0"/>
    <n v="27"/>
    <n v="288"/>
    <n v="90"/>
    <n v="138"/>
    <n v="78.607594936708864"/>
    <n v="58"/>
    <n v="27"/>
    <n v="58"/>
    <n v="0"/>
    <n v="56.962025316455701"/>
    <n v="0"/>
    <n v="4750199.9999999758"/>
    <n v="3112200"/>
    <n v="4313400"/>
    <n v="0"/>
    <n v="11302200"/>
    <n v="75758"/>
    <n v="0"/>
    <n v="4393963.9999999776"/>
    <n v="2878804"/>
    <n v="3989921.333333333"/>
    <n v="0"/>
    <n v="10454604"/>
    <x v="0"/>
    <n v="-27"/>
    <n v="0"/>
    <n v="0"/>
    <n v="0"/>
  </r>
  <r>
    <n v="902"/>
    <x v="6"/>
    <s v="P9200015"/>
    <s v="29508 TATTOO BROW 36H PEN GR BR AS"/>
    <x v="1"/>
    <n v="81900"/>
    <n v="27.333333333333329"/>
    <n v="8"/>
    <n v="22"/>
    <n v="182"/>
    <n v="0"/>
    <n v="0"/>
    <n v="0"/>
    <n v="0"/>
    <n v="6"/>
    <n v="288"/>
    <n v="90"/>
    <n v="182"/>
    <n v="248.18181818181819"/>
    <n v="0"/>
    <n v="6"/>
    <n v="0"/>
    <n v="0"/>
    <n v="237.27272727272728"/>
    <n v="0"/>
    <n v="2238599.9999999995"/>
    <n v="655200"/>
    <n v="1801800"/>
    <n v="0"/>
    <n v="14905800"/>
    <n v="75758"/>
    <n v="0"/>
    <n v="2070718.6666666663"/>
    <n v="606064"/>
    <n v="1666676"/>
    <n v="0"/>
    <n v="13787956"/>
    <x v="0"/>
    <n v="-6"/>
    <n v="0"/>
    <n v="0"/>
    <n v="0"/>
  </r>
  <r>
    <n v="903"/>
    <x v="6"/>
    <s v="P9200022"/>
    <s v="28426 HSL EXTRM 36H SLV BK1 AS-BLK"/>
    <x v="2"/>
    <n v="100800"/>
    <n v="855.33333333333087"/>
    <n v="948"/>
    <n v="861"/>
    <n v="1647"/>
    <n v="0"/>
    <n v="165"/>
    <n v="0"/>
    <n v="165"/>
    <n v="162"/>
    <n v="1200"/>
    <n v="90"/>
    <n v="1647"/>
    <n v="57.386759581881535"/>
    <n v="1719"/>
    <n v="162"/>
    <n v="1719"/>
    <n v="600"/>
    <n v="51.010452961672478"/>
    <n v="60480000"/>
    <n v="86217599.999999747"/>
    <n v="95558400"/>
    <n v="86788800"/>
    <n v="16632000"/>
    <n v="166017600"/>
    <n v="93240"/>
    <n v="55944000"/>
    <n v="79751279.999999776"/>
    <n v="88391520"/>
    <n v="80279640"/>
    <n v="15384600"/>
    <n v="153566280"/>
    <x v="0"/>
    <n v="438"/>
    <n v="0"/>
    <n v="0"/>
    <n v="0"/>
  </r>
  <r>
    <n v="904"/>
    <x v="6"/>
    <s v="P9200028"/>
    <s v="18086 UV DEFD SHAKA 50ML AS"/>
    <x v="1"/>
    <n v="126800"/>
    <n v="151.99999999999989"/>
    <n v="91"/>
    <n v="124.66666666666667"/>
    <n v="440"/>
    <n v="0"/>
    <n v="12"/>
    <n v="0"/>
    <n v="12"/>
    <n v="36"/>
    <n v="12"/>
    <n v="90"/>
    <n v="440"/>
    <n v="105.88235294117646"/>
    <n v="13"/>
    <n v="36"/>
    <n v="36"/>
    <n v="0"/>
    <n v="86.871657754010684"/>
    <n v="0"/>
    <n v="19273599.999999985"/>
    <n v="11538800"/>
    <n v="15807733.333333334"/>
    <n v="1521600"/>
    <n v="55792000"/>
    <n v="117290"/>
    <n v="0"/>
    <n v="17828079.999999985"/>
    <n v="10673390"/>
    <n v="14622153.333333334"/>
    <n v="1407480"/>
    <n v="51607600"/>
    <x v="0"/>
    <n v="-36"/>
    <n v="0"/>
    <n v="0"/>
    <n v="0"/>
  </r>
  <r>
    <n v="905"/>
    <x v="6"/>
    <s v="P9200029"/>
    <s v="25272 TATTOO BROW 3D GEL MEDM BROWN"/>
    <x v="1"/>
    <n v="94500"/>
    <n v="0"/>
    <n v="2"/>
    <n v="0.66666666666666663"/>
    <n v="0"/>
    <n v="0"/>
    <n v="0"/>
    <n v="0"/>
    <n v="0"/>
    <n v="3"/>
    <n v="24"/>
    <n v="90"/>
    <n v="0"/>
    <n v="0"/>
    <n v="4"/>
    <n v="3"/>
    <n v="0"/>
    <n v="0"/>
    <n v="0"/>
    <n v="0"/>
    <n v="0"/>
    <n v="189000"/>
    <n v="63000"/>
    <n v="0"/>
    <n v="0"/>
    <n v="87413"/>
    <n v="0"/>
    <n v="0"/>
    <n v="174826"/>
    <n v="58275.333333333328"/>
    <n v="0"/>
    <n v="0"/>
    <x v="0"/>
    <n v="-3"/>
    <n v="0"/>
    <n v="0"/>
    <n v="0"/>
  </r>
  <r>
    <n v="906"/>
    <x v="6"/>
    <s v="P9200030"/>
    <s v="32683 SUPERSTAY V INK 60 MISCH AS"/>
    <x v="3"/>
    <n v="90100"/>
    <n v="1285.333333333333"/>
    <n v="1580"/>
    <n v="1436.9999999999998"/>
    <n v="2609"/>
    <n v="0"/>
    <n v="12"/>
    <n v="0"/>
    <n v="12"/>
    <n v="1422"/>
    <n v="126"/>
    <n v="90"/>
    <n v="2609"/>
    <n v="54.467640918580386"/>
    <n v="3269.9999999999991"/>
    <n v="1422"/>
    <n v="3269.9999999999991"/>
    <n v="3000"/>
    <n v="84.363256784968698"/>
    <n v="270300000"/>
    <n v="115808533.33333331"/>
    <n v="142358000"/>
    <n v="129473699.99999999"/>
    <n v="1081200"/>
    <n v="235070900"/>
    <n v="83343"/>
    <n v="250029000"/>
    <n v="107123535.99999997"/>
    <n v="131681940"/>
    <n v="119763890.99999999"/>
    <n v="1000116"/>
    <n v="217441887"/>
    <x v="0"/>
    <n v="1578"/>
    <n v="0"/>
    <n v="0"/>
    <n v="0"/>
  </r>
  <r>
    <n v="907"/>
    <x v="6"/>
    <s v="P9200031"/>
    <s v="32737 SUPERSTAY V INK 50 WICKED AS"/>
    <x v="2"/>
    <n v="90100"/>
    <n v="882.33333333333599"/>
    <n v="939"/>
    <n v="837.66666666666686"/>
    <n v="1306"/>
    <n v="0"/>
    <n v="198"/>
    <n v="0"/>
    <n v="198"/>
    <n v="1071"/>
    <n v="126"/>
    <n v="90"/>
    <n v="1306"/>
    <n v="46.772781536012722"/>
    <n v="1948.0000000000005"/>
    <n v="1071"/>
    <n v="1948.0000000000005"/>
    <n v="1947"/>
    <n v="89.964186231595676"/>
    <n v="175424700"/>
    <n v="79498233.333333567"/>
    <n v="84603900"/>
    <n v="75473766.666666687"/>
    <n v="17839800"/>
    <n v="117670600"/>
    <n v="83343"/>
    <n v="162268821"/>
    <n v="73536307.000000224"/>
    <n v="78259077"/>
    <n v="69813653.000000015"/>
    <n v="16501914"/>
    <n v="108845958"/>
    <x v="0"/>
    <n v="876"/>
    <n v="0"/>
    <n v="0"/>
    <n v="0"/>
  </r>
  <r>
    <n v="908"/>
    <x v="6"/>
    <s v="P9200033"/>
    <s v="25258 TATTOO BROW 3D GEL DEEP BROWN"/>
    <x v="1"/>
    <n v="94500"/>
    <n v="53.000000000000597"/>
    <n v="39"/>
    <n v="51"/>
    <n v="172"/>
    <n v="0"/>
    <n v="0"/>
    <n v="0"/>
    <n v="0"/>
    <n v="54"/>
    <n v="24"/>
    <n v="90"/>
    <n v="172"/>
    <n v="101.17647058823529"/>
    <n v="20"/>
    <n v="54"/>
    <n v="54"/>
    <n v="0"/>
    <n v="78.235294117647058"/>
    <n v="0"/>
    <n v="5008500.0000000568"/>
    <n v="3685500"/>
    <n v="4819500"/>
    <n v="0"/>
    <n v="16254000"/>
    <n v="87413"/>
    <n v="0"/>
    <n v="4632889.0000000522"/>
    <n v="3409107"/>
    <n v="4458063"/>
    <n v="0"/>
    <n v="15035036"/>
    <x v="0"/>
    <n v="-54"/>
    <n v="0"/>
    <n v="0"/>
    <n v="0"/>
  </r>
  <r>
    <n v="909"/>
    <x v="6"/>
    <s v="P9200034"/>
    <s v="32676 SUPERSTAY V INK 10 LIPPY AS"/>
    <x v="3"/>
    <n v="90100"/>
    <n v="3502.9999999999964"/>
    <n v="3280"/>
    <n v="3481.3333333333339"/>
    <n v="5994"/>
    <n v="0"/>
    <n v="450"/>
    <n v="0"/>
    <n v="450"/>
    <n v="2079"/>
    <n v="126"/>
    <n v="90"/>
    <n v="5994"/>
    <n v="51.652623515894284"/>
    <n v="7280.0000000000018"/>
    <n v="2079"/>
    <n v="7280.0000000000018"/>
    <n v="6000"/>
    <n v="78.969743393335875"/>
    <n v="540600000"/>
    <n v="315620299.9999997"/>
    <n v="295528000"/>
    <n v="313668133.33333337"/>
    <n v="40545000"/>
    <n v="540059400"/>
    <n v="83343"/>
    <n v="500058000"/>
    <n v="291950528.9999997"/>
    <n v="273365040"/>
    <n v="290144764.00000006"/>
    <n v="37504350"/>
    <n v="499557942"/>
    <x v="0"/>
    <n v="3921"/>
    <n v="0"/>
    <n v="0"/>
    <n v="0"/>
  </r>
  <r>
    <n v="910"/>
    <x v="6"/>
    <s v="P9200035"/>
    <s v="32713 SUPERSTAY V INK 65 SAUCY AS"/>
    <x v="3"/>
    <n v="90100"/>
    <n v="1580.6666666666661"/>
    <n v="1786"/>
    <n v="1669.3333333333333"/>
    <n v="3666"/>
    <n v="0"/>
    <n v="6"/>
    <n v="0"/>
    <n v="6"/>
    <n v="1173"/>
    <n v="126"/>
    <n v="90"/>
    <n v="3666"/>
    <n v="65.882587859424916"/>
    <n v="3122"/>
    <n v="1173"/>
    <n v="3122"/>
    <n v="3000"/>
    <n v="87.807507987220461"/>
    <n v="270300000"/>
    <n v="142418066.66666663"/>
    <n v="160918600"/>
    <n v="150406933.33333331"/>
    <n v="540600"/>
    <n v="330306600"/>
    <n v="83343"/>
    <n v="250029000"/>
    <n v="131737501.99999996"/>
    <n v="148850598"/>
    <n v="139127248"/>
    <n v="500058"/>
    <n v="305535438"/>
    <x v="0"/>
    <n v="1827"/>
    <n v="0"/>
    <n v="0"/>
    <n v="0"/>
  </r>
  <r>
    <n v="911"/>
    <x v="6"/>
    <s v="P9200036"/>
    <s v="32652 SUPERSTAY V INK 35 CHEEKY AS"/>
    <x v="1"/>
    <n v="90100"/>
    <n v="121.0000000000008"/>
    <n v="68"/>
    <n v="101.66666666666666"/>
    <n v="498"/>
    <n v="0"/>
    <n v="0"/>
    <n v="0"/>
    <n v="0"/>
    <n v="15"/>
    <n v="126"/>
    <n v="90"/>
    <n v="498"/>
    <n v="146.95081967213116"/>
    <n v="0"/>
    <n v="15"/>
    <n v="15"/>
    <n v="0"/>
    <n v="126.88524590163937"/>
    <n v="0"/>
    <n v="10902100.000000071"/>
    <n v="6126800"/>
    <n v="9160166.666666666"/>
    <n v="0"/>
    <n v="44869800"/>
    <n v="83343"/>
    <n v="0"/>
    <n v="10084503.000000067"/>
    <n v="5667324"/>
    <n v="8473205"/>
    <n v="0"/>
    <n v="41504814"/>
    <x v="0"/>
    <n v="-15"/>
    <n v="0"/>
    <n v="0"/>
    <n v="0"/>
  </r>
  <r>
    <n v="912"/>
    <x v="6"/>
    <s v="P9200037"/>
    <s v="32690 SUPERSTAY V INK 15 PEACHY AS"/>
    <x v="2"/>
    <n v="90100"/>
    <n v="1178.3333333333237"/>
    <n v="1207"/>
    <n v="1175.3333333333333"/>
    <n v="3089"/>
    <n v="0"/>
    <n v="210"/>
    <n v="0"/>
    <n v="210"/>
    <n v="669"/>
    <n v="126"/>
    <n v="90"/>
    <n v="3089"/>
    <n v="78.845717526942707"/>
    <n v="1434"/>
    <n v="669"/>
    <n v="1434"/>
    <n v="1434"/>
    <n v="90"/>
    <n v="129203400"/>
    <n v="106167833.33333246"/>
    <n v="108750700"/>
    <n v="105897533.33333333"/>
    <n v="18921000"/>
    <n v="278318900"/>
    <n v="83343"/>
    <n v="119513862"/>
    <n v="98205834.999999195"/>
    <n v="100595001"/>
    <n v="97955806"/>
    <n v="17502030"/>
    <n v="257446527"/>
    <x v="0"/>
    <n v="765"/>
    <n v="0"/>
    <n v="0"/>
    <n v="0"/>
  </r>
  <r>
    <n v="913"/>
    <x v="6"/>
    <s v="P9200038"/>
    <s v="32720 SUPERSTAY V INK 30 UNRIVAL AS"/>
    <x v="1"/>
    <n v="90100"/>
    <n v="430.66666666666555"/>
    <n v="232"/>
    <n v="397.66666666666663"/>
    <n v="1219"/>
    <n v="0"/>
    <n v="51"/>
    <n v="0"/>
    <n v="51"/>
    <n v="315"/>
    <n v="126"/>
    <n v="90"/>
    <n v="1219"/>
    <n v="91.961441743503784"/>
    <n v="155"/>
    <n v="315"/>
    <n v="315"/>
    <n v="0"/>
    <n v="78.306789606035224"/>
    <n v="0"/>
    <n v="38803066.666666567"/>
    <n v="20903200"/>
    <n v="35829766.666666664"/>
    <n v="4595100"/>
    <n v="109831900"/>
    <n v="83343"/>
    <n v="0"/>
    <n v="35893051.999999903"/>
    <n v="19335576"/>
    <n v="33142732.999999996"/>
    <n v="4250493"/>
    <n v="101595117"/>
    <x v="0"/>
    <n v="-315"/>
    <n v="0"/>
    <n v="0"/>
    <n v="0"/>
  </r>
  <r>
    <n v="914"/>
    <x v="6"/>
    <s v="P9200039"/>
    <s v="25265 TATTOO BROW 3D GEL GREY BROWN"/>
    <x v="1"/>
    <n v="94500"/>
    <n v="23.3333333333333"/>
    <n v="15"/>
    <n v="18.666666666666668"/>
    <n v="199"/>
    <n v="0"/>
    <n v="3"/>
    <n v="0"/>
    <n v="0"/>
    <n v="24"/>
    <n v="24"/>
    <n v="90"/>
    <n v="199"/>
    <n v="319.82142857142856"/>
    <n v="0"/>
    <n v="27"/>
    <n v="0"/>
    <n v="0"/>
    <n v="295.71428571428567"/>
    <n v="0"/>
    <n v="2204999.9999999967"/>
    <n v="1417500"/>
    <n v="1764000"/>
    <n v="0"/>
    <n v="18805500"/>
    <n v="87413"/>
    <n v="0"/>
    <n v="2039636.6666666637"/>
    <n v="1311195"/>
    <n v="1631709.3333333335"/>
    <n v="0"/>
    <n v="17395187"/>
    <x v="0"/>
    <n v="-27"/>
    <n v="0"/>
    <n v="0"/>
    <n v="0"/>
  </r>
  <r>
    <n v="915"/>
    <x v="6"/>
    <s v="P9200051"/>
    <s v="26927 FIT ME FOUNDATION MATTE 190"/>
    <x v="1"/>
    <n v="108400"/>
    <n v="3.3333333333334001"/>
    <n v="29"/>
    <n v="11"/>
    <n v="187"/>
    <n v="0"/>
    <n v="0"/>
    <n v="0"/>
    <n v="0"/>
    <n v="24"/>
    <n v="24"/>
    <n v="90"/>
    <n v="187"/>
    <n v="510"/>
    <n v="0"/>
    <n v="24"/>
    <n v="0"/>
    <n v="0"/>
    <n v="430.90909090909088"/>
    <n v="0"/>
    <n v="361333.33333334059"/>
    <n v="3143600"/>
    <n v="1192400"/>
    <n v="0"/>
    <n v="20270800"/>
    <n v="100270"/>
    <n v="0"/>
    <n v="334233.33333334001"/>
    <n v="2907830"/>
    <n v="1102970"/>
    <n v="0"/>
    <n v="18750490"/>
    <x v="0"/>
    <n v="-24"/>
    <n v="0"/>
    <n v="0"/>
    <n v="0"/>
  </r>
  <r>
    <n v="916"/>
    <x v="6"/>
    <s v="P9200055"/>
    <s v="28334 FIT ME MONO BLUSH 40 PROUD AS"/>
    <x v="1"/>
    <n v="85000"/>
    <n v="17.666666666666742"/>
    <n v="7"/>
    <n v="9"/>
    <n v="68"/>
    <n v="0"/>
    <n v="3"/>
    <n v="0"/>
    <n v="3"/>
    <n v="0"/>
    <n v="90"/>
    <n v="90"/>
    <n v="68"/>
    <n v="226.66666666666666"/>
    <n v="0"/>
    <n v="0"/>
    <n v="0"/>
    <n v="0"/>
    <n v="213.33333333333331"/>
    <n v="0"/>
    <n v="1501666.666666673"/>
    <n v="595000"/>
    <n v="765000"/>
    <n v="255000"/>
    <n v="5780000"/>
    <n v="78625"/>
    <n v="0"/>
    <n v="1389041.6666666726"/>
    <n v="550375"/>
    <n v="707625"/>
    <n v="235875"/>
    <n v="5346500"/>
    <x v="0"/>
    <n v="0"/>
    <n v="0"/>
    <n v="0"/>
    <n v="0"/>
  </r>
  <r>
    <n v="917"/>
    <x v="6"/>
    <s v="P9200057"/>
    <s v="28341 FIT ME MONO BLUSH 50 REVOL AS"/>
    <x v="1"/>
    <n v="85000"/>
    <n v="100.66666666666637"/>
    <n v="28"/>
    <n v="76.666666666666657"/>
    <n v="220"/>
    <n v="0"/>
    <n v="12"/>
    <n v="0"/>
    <n v="12"/>
    <n v="9"/>
    <n v="90"/>
    <n v="90"/>
    <n v="220"/>
    <n v="86.08695652173914"/>
    <n v="26"/>
    <n v="9"/>
    <n v="26"/>
    <n v="0"/>
    <n v="79.826086956521749"/>
    <n v="0"/>
    <n v="8556666.6666666418"/>
    <n v="2380000"/>
    <n v="6516666.666666666"/>
    <n v="1020000"/>
    <n v="18700000"/>
    <n v="78625"/>
    <n v="0"/>
    <n v="7914916.6666666437"/>
    <n v="2201500"/>
    <n v="6027916.666666666"/>
    <n v="943500"/>
    <n v="17297500"/>
    <x v="0"/>
    <n v="-9"/>
    <n v="0"/>
    <n v="0"/>
    <n v="0"/>
  </r>
  <r>
    <n v="918"/>
    <x v="6"/>
    <s v="P9200058"/>
    <s v="26897 FIT ME FOUNDATION MATTE 132"/>
    <x v="1"/>
    <n v="108400"/>
    <n v="5"/>
    <n v="14"/>
    <n v="7.666666666666667"/>
    <n v="121"/>
    <n v="0"/>
    <n v="0"/>
    <n v="0"/>
    <n v="0"/>
    <n v="15"/>
    <n v="24"/>
    <n v="90"/>
    <n v="121"/>
    <n v="473.47826086956519"/>
    <n v="0"/>
    <n v="15"/>
    <n v="0"/>
    <n v="0"/>
    <n v="418.695652173913"/>
    <n v="0"/>
    <n v="542000"/>
    <n v="1517600"/>
    <n v="831066.66666666674"/>
    <n v="0"/>
    <n v="13116400"/>
    <n v="100270"/>
    <n v="0"/>
    <n v="501350"/>
    <n v="1403780"/>
    <n v="768736.66666666674"/>
    <n v="0"/>
    <n v="12132670"/>
    <x v="0"/>
    <n v="-15"/>
    <n v="0"/>
    <n v="0"/>
    <n v="0"/>
  </r>
  <r>
    <n v="919"/>
    <x v="6"/>
    <s v="P9200060"/>
    <s v="26859 FIT ME FOUNDATION MATTE 123"/>
    <x v="1"/>
    <n v="108400"/>
    <n v="12.333333333333369"/>
    <n v="6"/>
    <n v="12.666666666666668"/>
    <n v="93"/>
    <n v="0"/>
    <n v="0"/>
    <n v="0"/>
    <n v="0"/>
    <n v="9"/>
    <n v="24"/>
    <n v="90"/>
    <n v="93"/>
    <n v="220.26315789473682"/>
    <n v="0"/>
    <n v="9"/>
    <n v="0"/>
    <n v="0"/>
    <n v="206.05263157894734"/>
    <n v="0"/>
    <n v="1336933.3333333372"/>
    <n v="650400"/>
    <n v="1373066.6666666667"/>
    <n v="0"/>
    <n v="10081200"/>
    <n v="100270"/>
    <n v="0"/>
    <n v="1236663.333333337"/>
    <n v="601620"/>
    <n v="1270086.6666666667"/>
    <n v="0"/>
    <n v="9325110"/>
    <x v="0"/>
    <n v="-9"/>
    <n v="0"/>
    <n v="0"/>
    <n v="0"/>
  </r>
  <r>
    <n v="920"/>
    <x v="6"/>
    <s v="P9200061"/>
    <s v="74235 FIT ME FOUNDATION MATTE 115"/>
    <x v="1"/>
    <n v="108400"/>
    <n v="22.333333333333343"/>
    <n v="13"/>
    <n v="17.666666666666668"/>
    <n v="196"/>
    <n v="0"/>
    <n v="0"/>
    <n v="0"/>
    <n v="0"/>
    <n v="3"/>
    <n v="24"/>
    <n v="90"/>
    <n v="196"/>
    <n v="332.83018867924523"/>
    <n v="0"/>
    <n v="3"/>
    <n v="0"/>
    <n v="0"/>
    <n v="310.75471698113205"/>
    <n v="0"/>
    <n v="2420933.3333333344"/>
    <n v="1409200"/>
    <n v="1915066.6666666667"/>
    <n v="0"/>
    <n v="21246400"/>
    <n v="100270"/>
    <n v="0"/>
    <n v="2239363.3333333344"/>
    <n v="1303510"/>
    <n v="1771436.6666666667"/>
    <n v="0"/>
    <n v="19652920"/>
    <x v="0"/>
    <n v="-3"/>
    <n v="0"/>
    <n v="0"/>
    <n v="0"/>
  </r>
  <r>
    <n v="921"/>
    <x v="6"/>
    <s v="P9200063"/>
    <s v="28327 FITME MONO BLUSH 30 FIERCE AS"/>
    <x v="1"/>
    <n v="85000"/>
    <n v="39.6666666666667"/>
    <n v="10"/>
    <n v="29.666666666666664"/>
    <n v="126"/>
    <n v="0"/>
    <n v="0"/>
    <n v="0"/>
    <n v="0"/>
    <n v="6"/>
    <n v="90"/>
    <n v="90"/>
    <n v="126"/>
    <n v="127.41573033707866"/>
    <n v="0"/>
    <n v="6"/>
    <n v="6"/>
    <n v="0"/>
    <n v="117.30337078651687"/>
    <n v="0"/>
    <n v="3371666.6666666693"/>
    <n v="850000"/>
    <n v="2521666.6666666665"/>
    <n v="0"/>
    <n v="10710000"/>
    <n v="78625"/>
    <n v="0"/>
    <n v="3118791.6666666693"/>
    <n v="786250"/>
    <n v="2332541.6666666665"/>
    <n v="0"/>
    <n v="9906750"/>
    <x v="0"/>
    <n v="-6"/>
    <n v="0"/>
    <n v="0"/>
    <n v="0"/>
  </r>
  <r>
    <n v="922"/>
    <x v="6"/>
    <s v="P9200066"/>
    <s v="28310 FIT ME MONO BLUSH 20 HOPE AS"/>
    <x v="1"/>
    <n v="85000"/>
    <n v="32.333333333333272"/>
    <n v="25"/>
    <n v="29.666666666666668"/>
    <n v="235"/>
    <n v="0"/>
    <n v="0"/>
    <n v="0"/>
    <n v="0"/>
    <n v="12"/>
    <n v="90"/>
    <n v="90"/>
    <n v="235"/>
    <n v="237.64044943820224"/>
    <n v="0"/>
    <n v="12"/>
    <n v="0"/>
    <n v="0"/>
    <n v="212.35955056179776"/>
    <n v="0"/>
    <n v="2748333.3333333279"/>
    <n v="2125000"/>
    <n v="2521666.666666667"/>
    <n v="0"/>
    <n v="19975000"/>
    <n v="78625"/>
    <n v="0"/>
    <n v="2542208.3333333284"/>
    <n v="1965625"/>
    <n v="2332541.666666667"/>
    <n v="0"/>
    <n v="18476875"/>
    <x v="0"/>
    <n v="-12"/>
    <n v="0"/>
    <n v="0"/>
    <n v="0"/>
  </r>
  <r>
    <n v="923"/>
    <x v="6"/>
    <s v="P9200083"/>
    <s v="17980 RV HA EYE SERUM 20ML EBT"/>
    <x v="1"/>
    <n v="129000"/>
    <n v="-3"/>
    <n v="1"/>
    <n v="-1"/>
    <n v="34"/>
    <n v="0"/>
    <n v="0"/>
    <n v="0"/>
    <n v="0"/>
    <n v="0"/>
    <n v="24"/>
    <n v="90"/>
    <n v="34"/>
    <n v="9999"/>
    <n v="0"/>
    <n v="0"/>
    <n v="0"/>
    <n v="0"/>
    <n v="9999"/>
    <n v="0"/>
    <n v="-387000"/>
    <n v="129000"/>
    <n v="-129000"/>
    <n v="0"/>
    <n v="4386000"/>
    <n v="119325"/>
    <n v="0"/>
    <n v="-357975"/>
    <n v="119325"/>
    <n v="-119325"/>
    <n v="0"/>
    <n v="4057050"/>
    <x v="0"/>
    <n v="0"/>
    <n v="0"/>
    <n v="0"/>
    <n v="0"/>
  </r>
  <r>
    <n v="924"/>
    <x v="6"/>
    <s v="P9200085"/>
    <s v="16518 GLYCO BRIT DAY CRM 15ML AS"/>
    <x v="2"/>
    <n v="63100"/>
    <n v="1029.666666666672"/>
    <n v="1098"/>
    <n v="971.66666666666663"/>
    <n v="2649"/>
    <n v="0"/>
    <n v="360"/>
    <n v="0"/>
    <n v="360"/>
    <n v="192"/>
    <n v="24"/>
    <n v="90"/>
    <n v="2649"/>
    <n v="81.78730703259005"/>
    <n v="1004"/>
    <n v="192"/>
    <n v="1004"/>
    <n v="1008"/>
    <n v="90.123499142367066"/>
    <n v="63604800"/>
    <n v="64971966.666666999"/>
    <n v="69283800"/>
    <n v="61312166.666666664"/>
    <n v="22716000"/>
    <n v="167151900"/>
    <n v="58368"/>
    <n v="58834944"/>
    <n v="60099584.000000313"/>
    <n v="64088064"/>
    <n v="56714240"/>
    <n v="21012480"/>
    <n v="154616832"/>
    <x v="0"/>
    <n v="816"/>
    <n v="0"/>
    <n v="0"/>
    <n v="0"/>
  </r>
  <r>
    <n v="925"/>
    <x v="6"/>
    <s v="P9200086"/>
    <s v="16556 GLYCO BRIT NIGHT CRM 15ML AS"/>
    <x v="2"/>
    <n v="63100"/>
    <n v="811.3333333333311"/>
    <n v="921"/>
    <n v="787.33333333333337"/>
    <n v="1579"/>
    <n v="0"/>
    <n v="0"/>
    <n v="0"/>
    <n v="0"/>
    <n v="840"/>
    <n v="24"/>
    <n v="90"/>
    <n v="1579"/>
    <n v="60.165114309906862"/>
    <n v="1704"/>
    <n v="840"/>
    <n v="1704"/>
    <n v="0"/>
    <n v="25.071972904318372"/>
    <n v="0"/>
    <n v="51195133.333333194"/>
    <n v="58115100"/>
    <n v="49680733.333333336"/>
    <n v="0"/>
    <n v="99634900"/>
    <n v="58368"/>
    <n v="0"/>
    <n v="47355903.999999866"/>
    <n v="53756928"/>
    <n v="45955072"/>
    <n v="0"/>
    <n v="92163072"/>
    <x v="0"/>
    <n v="-840"/>
    <n v="0"/>
    <n v="0"/>
    <n v="0"/>
  </r>
  <r>
    <n v="926"/>
    <x v="6"/>
    <s v="P9200099"/>
    <s v="74358 FIT ME FDT MAT PORE PUMP 235"/>
    <x v="1"/>
    <n v="108400"/>
    <n v="1.3333333333333299"/>
    <n v="18"/>
    <n v="6.666666666666667"/>
    <n v="169"/>
    <n v="0"/>
    <n v="0"/>
    <n v="0"/>
    <n v="0"/>
    <n v="3"/>
    <n v="24"/>
    <n v="90"/>
    <n v="169"/>
    <n v="760.49999999999989"/>
    <n v="0"/>
    <n v="3"/>
    <n v="0"/>
    <n v="0"/>
    <n v="679.5"/>
    <n v="0"/>
    <n v="144533.33333333296"/>
    <n v="1951200"/>
    <n v="722666.66666666674"/>
    <n v="0"/>
    <n v="18319600"/>
    <n v="100270"/>
    <n v="0"/>
    <n v="133693.33333333299"/>
    <n v="1804860"/>
    <n v="668466.66666666674"/>
    <n v="0"/>
    <n v="16945630"/>
    <x v="0"/>
    <n v="-3"/>
    <n v="0"/>
    <n v="0"/>
    <n v="0"/>
  </r>
  <r>
    <n v="927"/>
    <x v="6"/>
    <s v="P9200100"/>
    <s v="41241 SUPERSTAY V INK 61 RISKY AS"/>
    <x v="2"/>
    <n v="90100"/>
    <n v="1243.0000000000009"/>
    <n v="1278"/>
    <n v="1289.6666666666667"/>
    <n v="1962"/>
    <n v="0"/>
    <n v="339"/>
    <n v="0"/>
    <n v="339"/>
    <n v="1281"/>
    <n v="126"/>
    <n v="90"/>
    <n v="1962"/>
    <n v="45.639700180925303"/>
    <n v="2846"/>
    <n v="1281"/>
    <n v="2846"/>
    <n v="1200"/>
    <n v="51.711036443525458"/>
    <n v="108120000"/>
    <n v="111994300.00000007"/>
    <n v="115147800"/>
    <n v="116198966.66666667"/>
    <n v="30543900"/>
    <n v="176776200"/>
    <n v="83343"/>
    <n v="100011600"/>
    <n v="103595349.00000007"/>
    <n v="106512354"/>
    <n v="107484689"/>
    <n v="28253277"/>
    <n v="163518966"/>
    <x v="0"/>
    <n v="-81"/>
    <n v="0"/>
    <n v="0"/>
    <n v="0"/>
  </r>
  <r>
    <n v="928"/>
    <x v="6"/>
    <s v="P9200101"/>
    <s v="41258 SUPERSTAY V INK 62 IRREST AS"/>
    <x v="2"/>
    <n v="90100"/>
    <n v="1211.6666666666642"/>
    <n v="1079"/>
    <n v="1260.3333333333335"/>
    <n v="1198"/>
    <n v="0"/>
    <n v="753"/>
    <n v="0"/>
    <n v="753"/>
    <n v="1458"/>
    <n v="126"/>
    <n v="90"/>
    <n v="1198"/>
    <n v="28.516265538217397"/>
    <n v="2909"/>
    <n v="1458"/>
    <n v="2909"/>
    <n v="1300"/>
    <n v="51.700608304681296"/>
    <n v="117130000"/>
    <n v="109171166.66666645"/>
    <n v="97217900"/>
    <n v="113556033.33333334"/>
    <n v="67845300"/>
    <n v="107939800"/>
    <n v="83343"/>
    <n v="108345900"/>
    <n v="100983934.99999979"/>
    <n v="89927097"/>
    <n v="105039961.00000001"/>
    <n v="62757279"/>
    <n v="99844914"/>
    <x v="0"/>
    <n v="-158"/>
    <n v="0"/>
    <n v="0"/>
    <n v="0"/>
  </r>
  <r>
    <n v="929"/>
    <x v="6"/>
    <s v="P9200102"/>
    <s v="41265 SUPERSTAY V INK 63 INTRIG AS"/>
    <x v="2"/>
    <n v="90100"/>
    <n v="633.33333333333792"/>
    <n v="763"/>
    <n v="673.66666666666663"/>
    <n v="1503"/>
    <n v="0"/>
    <n v="108"/>
    <n v="0"/>
    <n v="108"/>
    <n v="999"/>
    <n v="126"/>
    <n v="90"/>
    <n v="1503"/>
    <n v="66.932211776348353"/>
    <n v="1173"/>
    <n v="999"/>
    <n v="1173"/>
    <n v="300"/>
    <n v="51.123206333498274"/>
    <n v="27030000"/>
    <n v="57063333.333333746"/>
    <n v="68746300"/>
    <n v="60697366.666666664"/>
    <n v="9730800"/>
    <n v="135420300"/>
    <n v="83343"/>
    <n v="25002900"/>
    <n v="52783900.00000038"/>
    <n v="63590709"/>
    <n v="56145401"/>
    <n v="9001044"/>
    <n v="125264529"/>
    <x v="0"/>
    <n v="-699"/>
    <n v="0"/>
    <n v="0"/>
    <n v="0"/>
  </r>
  <r>
    <n v="930"/>
    <x v="6"/>
    <s v="P9200104"/>
    <s v="41531 SUPERSTAY V INK 120 PUNCHY AS"/>
    <x v="1"/>
    <n v="90100"/>
    <n v="343.0000000000025"/>
    <n v="174"/>
    <n v="277.66666666666669"/>
    <n v="594"/>
    <n v="0"/>
    <n v="0"/>
    <n v="0"/>
    <n v="0"/>
    <n v="522"/>
    <n v="126"/>
    <n v="90"/>
    <n v="594"/>
    <n v="64.177671068427358"/>
    <n v="413"/>
    <n v="522"/>
    <n v="522"/>
    <n v="0"/>
    <n v="45.378151260504197"/>
    <n v="0"/>
    <n v="30904300.000000224"/>
    <n v="15677400"/>
    <n v="25017766.666666668"/>
    <n v="0"/>
    <n v="53519400"/>
    <n v="83343"/>
    <n v="0"/>
    <n v="28586649.000000209"/>
    <n v="14501682"/>
    <n v="23141573"/>
    <n v="0"/>
    <n v="49505742"/>
    <x v="0"/>
    <n v="-522"/>
    <n v="0"/>
    <n v="0"/>
    <n v="0"/>
  </r>
  <r>
    <n v="931"/>
    <x v="6"/>
    <s v="P9200105"/>
    <s v="41548 SUPERSTAY V INK 125 KEEN AS"/>
    <x v="2"/>
    <n v="90100"/>
    <n v="1008.0000000000028"/>
    <n v="1060"/>
    <n v="1012"/>
    <n v="2261"/>
    <n v="0"/>
    <n v="225"/>
    <n v="0"/>
    <n v="225"/>
    <n v="1179"/>
    <n v="126"/>
    <n v="90"/>
    <n v="2261"/>
    <n v="67.025691699604749"/>
    <n v="1610"/>
    <n v="1179"/>
    <n v="1610"/>
    <n v="1611"/>
    <n v="90.029644268774703"/>
    <n v="145151100"/>
    <n v="90820800.000000253"/>
    <n v="95506000"/>
    <n v="91181200"/>
    <n v="20272500"/>
    <n v="203716100"/>
    <n v="83343"/>
    <n v="134265573"/>
    <n v="84009744.000000238"/>
    <n v="88343580"/>
    <n v="84343116"/>
    <n v="18752175"/>
    <n v="188438523"/>
    <x v="0"/>
    <n v="432"/>
    <n v="0"/>
    <n v="0"/>
    <n v="0"/>
  </r>
  <r>
    <n v="932"/>
    <x v="6"/>
    <s v="P9200106"/>
    <s v="41555 SUPERSTAY V INK 130 EXTRA AS"/>
    <x v="2"/>
    <n v="90100"/>
    <n v="1090.666666666657"/>
    <n v="1196"/>
    <n v="1111"/>
    <n v="2160"/>
    <n v="0"/>
    <n v="432"/>
    <n v="0"/>
    <n v="432"/>
    <n v="783"/>
    <n v="126"/>
    <n v="90"/>
    <n v="2160"/>
    <n v="58.325832583258325"/>
    <n v="1937"/>
    <n v="783"/>
    <n v="1937"/>
    <n v="1938"/>
    <n v="90.027002700270032"/>
    <n v="174613800"/>
    <n v="98269066.666665792"/>
    <n v="107759600"/>
    <n v="100101100"/>
    <n v="38923200"/>
    <n v="194616000"/>
    <n v="83343"/>
    <n v="161518734"/>
    <n v="90899431.999999195"/>
    <n v="99678228"/>
    <n v="92594073"/>
    <n v="36004176"/>
    <n v="180020880"/>
    <x v="0"/>
    <n v="1155"/>
    <n v="0"/>
    <n v="0"/>
    <n v="0"/>
  </r>
  <r>
    <n v="933"/>
    <x v="6"/>
    <s v="P9200107"/>
    <s v="41562 SUPERSTAY V INK 100 CHARM AS"/>
    <x v="2"/>
    <n v="90100"/>
    <n v="842.33333333332996"/>
    <n v="783"/>
    <n v="827.66666666666674"/>
    <n v="898"/>
    <n v="0"/>
    <n v="186"/>
    <n v="0"/>
    <n v="186"/>
    <n v="1278"/>
    <n v="126"/>
    <n v="90"/>
    <n v="898"/>
    <n v="32.549335481272657"/>
    <n v="2182"/>
    <n v="1278"/>
    <n v="2182"/>
    <n v="1500"/>
    <n v="65.279903342730563"/>
    <n v="135150000"/>
    <n v="75894233.33333303"/>
    <n v="70548300"/>
    <n v="74572766.666666672"/>
    <n v="16758600"/>
    <n v="80909800"/>
    <n v="83343"/>
    <n v="125014500"/>
    <n v="70202586.999999717"/>
    <n v="65257569"/>
    <n v="68980223"/>
    <n v="15501798"/>
    <n v="74842014"/>
    <x v="0"/>
    <n v="222"/>
    <n v="0"/>
    <n v="0"/>
    <n v="0"/>
  </r>
  <r>
    <n v="934"/>
    <x v="6"/>
    <s v="P9200121"/>
    <s v="51291 INFALL 24H FW FDT 20 IVORY"/>
    <x v="1"/>
    <n v="113500"/>
    <n v="-4.6666666666666998"/>
    <n v="4"/>
    <n v="-4.666666666666667"/>
    <n v="16"/>
    <n v="0"/>
    <n v="0"/>
    <n v="0"/>
    <n v="0"/>
    <n v="6"/>
    <n v="54"/>
    <n v="90"/>
    <n v="16"/>
    <n v="9999"/>
    <n v="0"/>
    <n v="6"/>
    <n v="0"/>
    <n v="0"/>
    <n v="9999"/>
    <n v="0"/>
    <n v="-529666.66666667047"/>
    <n v="454000"/>
    <n v="-529666.66666666674"/>
    <n v="0"/>
    <n v="1816000"/>
    <n v="104988"/>
    <n v="0"/>
    <n v="-489944.00000000349"/>
    <n v="419952"/>
    <n v="-489944.00000000006"/>
    <n v="0"/>
    <n v="1679808"/>
    <x v="0"/>
    <n v="-6"/>
    <n v="0"/>
    <n v="0"/>
    <n v="0"/>
  </r>
  <r>
    <n v="935"/>
    <x v="6"/>
    <s v="P9200126"/>
    <s v="51949 INFALL 24H FW FDT 245 G HONEY"/>
    <x v="1"/>
    <n v="113500"/>
    <n v="-2"/>
    <n v="1"/>
    <n v="0.33333333333333331"/>
    <n v="6"/>
    <n v="0"/>
    <n v="0"/>
    <n v="0"/>
    <n v="0"/>
    <n v="0"/>
    <n v="54"/>
    <n v="90"/>
    <n v="6"/>
    <n v="540"/>
    <n v="0"/>
    <n v="0"/>
    <n v="0"/>
    <n v="0"/>
    <n v="450"/>
    <n v="0"/>
    <n v="-227000"/>
    <n v="113500"/>
    <n v="37833.333333333328"/>
    <n v="0"/>
    <n v="681000"/>
    <n v="104988"/>
    <n v="0"/>
    <n v="-209976"/>
    <n v="104988"/>
    <n v="34996"/>
    <n v="0"/>
    <n v="629928"/>
    <x v="0"/>
    <n v="0"/>
    <n v="0"/>
    <n v="0"/>
    <n v="0"/>
  </r>
  <r>
    <n v="936"/>
    <x v="6"/>
    <s v="P9200218"/>
    <s v="09170 GLYCO BR PEEL WATER 65ML EBT"/>
    <x v="1"/>
    <n v="93700"/>
    <n v="251.33333333333394"/>
    <n v="107"/>
    <n v="203"/>
    <n v="494"/>
    <n v="0"/>
    <n v="15"/>
    <n v="0"/>
    <n v="15"/>
    <n v="108"/>
    <n v="12"/>
    <n v="90"/>
    <n v="494"/>
    <n v="73.004926108374377"/>
    <n v="207"/>
    <n v="108"/>
    <n v="207"/>
    <n v="0"/>
    <n v="59.408866995073893"/>
    <n v="0"/>
    <n v="23549933.333333392"/>
    <n v="10025900"/>
    <n v="19021100"/>
    <n v="1405500"/>
    <n v="46287800"/>
    <n v="86673"/>
    <n v="0"/>
    <n v="21783814.000000052"/>
    <n v="9274011"/>
    <n v="17594619"/>
    <n v="1300095"/>
    <n v="42816462"/>
    <x v="0"/>
    <n v="-108"/>
    <n v="0"/>
    <n v="0"/>
    <n v="0"/>
  </r>
  <r>
    <n v="937"/>
    <x v="6"/>
    <s v="P9200245"/>
    <s v="45737 INF 32H PROM FDT 110AS 30ML"/>
    <x v="1"/>
    <n v="145000"/>
    <n v="91.666666666667027"/>
    <n v="61"/>
    <n v="84.333333333333329"/>
    <n v="231"/>
    <n v="0"/>
    <n v="18"/>
    <n v="0"/>
    <n v="18"/>
    <n v="84"/>
    <n v="72"/>
    <n v="90"/>
    <n v="231"/>
    <n v="82.173913043478265"/>
    <n v="65"/>
    <n v="84"/>
    <n v="84"/>
    <n v="0"/>
    <n v="66.877470355731219"/>
    <n v="0"/>
    <n v="13291666.666666718"/>
    <n v="8845000"/>
    <n v="12228333.333333332"/>
    <n v="2610000"/>
    <n v="33495000"/>
    <n v="134125"/>
    <n v="0"/>
    <n v="12294791.666666714"/>
    <n v="8181625"/>
    <n v="11311208.333333332"/>
    <n v="2414250"/>
    <n v="30982875"/>
    <x v="0"/>
    <n v="-84"/>
    <n v="0"/>
    <n v="0"/>
    <n v="0"/>
  </r>
  <r>
    <n v="938"/>
    <x v="6"/>
    <s v="P9200247"/>
    <s v="45768 INF 32H PROM FDT 123AS 30ML"/>
    <x v="1"/>
    <n v="145000"/>
    <n v="72.666666666666373"/>
    <n v="55"/>
    <n v="67.333333333333343"/>
    <n v="145"/>
    <n v="0"/>
    <n v="0"/>
    <n v="0"/>
    <n v="0"/>
    <n v="33"/>
    <n v="72"/>
    <n v="90"/>
    <n v="145"/>
    <n v="64.603960396039597"/>
    <n v="112"/>
    <n v="33"/>
    <n v="112"/>
    <n v="0"/>
    <n v="40.099009900990097"/>
    <n v="0"/>
    <n v="10536666.666666623"/>
    <n v="7975000"/>
    <n v="9763333.333333334"/>
    <n v="0"/>
    <n v="21025000"/>
    <n v="134125"/>
    <n v="0"/>
    <n v="9746416.6666666269"/>
    <n v="7376875"/>
    <n v="9031083.333333334"/>
    <n v="0"/>
    <n v="19448125"/>
    <x v="0"/>
    <n v="-33"/>
    <n v="0"/>
    <n v="0"/>
    <n v="0"/>
  </r>
  <r>
    <n v="939"/>
    <x v="6"/>
    <s v="P9200249"/>
    <s v="45799 INF 32H PROM FDT 128AS 30ML"/>
    <x v="1"/>
    <n v="145000"/>
    <n v="131.00000000000063"/>
    <n v="84"/>
    <n v="121"/>
    <n v="299"/>
    <n v="0"/>
    <n v="0"/>
    <n v="0"/>
    <n v="0"/>
    <n v="165"/>
    <n v="72"/>
    <n v="90"/>
    <n v="299"/>
    <n v="74.132231404958674"/>
    <n v="148"/>
    <n v="165"/>
    <n v="165"/>
    <n v="0"/>
    <n v="53.305785123966942"/>
    <n v="0"/>
    <n v="18995000.000000089"/>
    <n v="12180000"/>
    <n v="17545000"/>
    <n v="0"/>
    <n v="43355000"/>
    <n v="134125"/>
    <n v="0"/>
    <n v="17570375.000000086"/>
    <n v="11266500"/>
    <n v="16229125"/>
    <n v="0"/>
    <n v="40103375"/>
    <x v="0"/>
    <n v="-165"/>
    <n v="0"/>
    <n v="0"/>
    <n v="0"/>
  </r>
  <r>
    <n v="940"/>
    <x v="6"/>
    <s v="P9200250"/>
    <s v="45805 INF 32H PROM FDT 140AS 30ML"/>
    <x v="1"/>
    <n v="145000"/>
    <n v="37.999999999999972"/>
    <n v="31"/>
    <n v="38.333333333333336"/>
    <n v="100"/>
    <n v="0"/>
    <n v="9"/>
    <n v="0"/>
    <n v="9"/>
    <n v="9"/>
    <n v="72"/>
    <n v="90"/>
    <n v="100"/>
    <n v="78.260869565217391"/>
    <n v="37"/>
    <n v="9"/>
    <n v="37"/>
    <n v="0"/>
    <n v="61.043478260869563"/>
    <n v="0"/>
    <n v="5509999.9999999963"/>
    <n v="4495000"/>
    <n v="5558333.333333334"/>
    <n v="1305000"/>
    <n v="14500000"/>
    <n v="134125"/>
    <n v="0"/>
    <n v="5096749.9999999963"/>
    <n v="4157875"/>
    <n v="5141458.333333334"/>
    <n v="1207125"/>
    <n v="13412500"/>
    <x v="0"/>
    <n v="-9"/>
    <n v="0"/>
    <n v="0"/>
    <n v="0"/>
  </r>
  <r>
    <n v="941"/>
    <x v="6"/>
    <s v="P9200251"/>
    <s v="45812 INF 32H PROM FDT 147AS 30ML"/>
    <x v="1"/>
    <n v="145000"/>
    <n v="16.666666666666799"/>
    <n v="23"/>
    <n v="22.333333333333336"/>
    <n v="110"/>
    <n v="0"/>
    <n v="0"/>
    <n v="0"/>
    <n v="0"/>
    <n v="30"/>
    <n v="72"/>
    <n v="90"/>
    <n v="110"/>
    <n v="147.76119402985074"/>
    <n v="0"/>
    <n v="30"/>
    <n v="0"/>
    <n v="0"/>
    <n v="116.86567164179102"/>
    <n v="0"/>
    <n v="2416666.6666666861"/>
    <n v="3335000"/>
    <n v="3238333.3333333335"/>
    <n v="0"/>
    <n v="15950000"/>
    <n v="134125"/>
    <n v="0"/>
    <n v="2235416.6666666847"/>
    <n v="3084875"/>
    <n v="2995458.3333333335"/>
    <n v="0"/>
    <n v="14753750"/>
    <x v="0"/>
    <n v="-30"/>
    <n v="0"/>
    <n v="0"/>
    <n v="0"/>
  </r>
  <r>
    <n v="942"/>
    <x v="6"/>
    <s v="P9200252"/>
    <s v="45836 INF 32H PROM FDT 240AS 30ML"/>
    <x v="1"/>
    <n v="145000"/>
    <n v="15.666666666666631"/>
    <n v="9"/>
    <n v="10.666666666666666"/>
    <n v="75"/>
    <n v="0"/>
    <n v="0"/>
    <n v="0"/>
    <n v="0"/>
    <n v="15"/>
    <n v="72"/>
    <n v="90"/>
    <n v="75"/>
    <n v="210.9375"/>
    <n v="0"/>
    <n v="15"/>
    <n v="0"/>
    <n v="0"/>
    <n v="185.625"/>
    <n v="0"/>
    <n v="2271666.6666666614"/>
    <n v="1305000"/>
    <n v="1546666.6666666665"/>
    <n v="0"/>
    <n v="10875000"/>
    <n v="134125"/>
    <n v="0"/>
    <n v="2101291.6666666619"/>
    <n v="1207125"/>
    <n v="1430666.6666666665"/>
    <n v="0"/>
    <n v="10059375"/>
    <x v="0"/>
    <n v="-15"/>
    <n v="0"/>
    <n v="0"/>
    <n v="0"/>
  </r>
  <r>
    <n v="943"/>
    <x v="6"/>
    <s v="P9200253"/>
    <s v="45843 INF 32H PROM FDT 250AS 30ML"/>
    <x v="1"/>
    <n v="145000"/>
    <n v="12.3333333333333"/>
    <n v="10"/>
    <n v="11.666666666666664"/>
    <n v="156"/>
    <n v="0"/>
    <n v="0"/>
    <n v="0"/>
    <n v="0"/>
    <n v="9"/>
    <n v="72"/>
    <n v="90"/>
    <n v="156"/>
    <n v="401.14285714285722"/>
    <n v="0"/>
    <n v="9"/>
    <n v="0"/>
    <n v="0"/>
    <n v="375.4285714285715"/>
    <n v="0"/>
    <n v="1788333.3333333286"/>
    <n v="1450000"/>
    <n v="1691666.6666666663"/>
    <n v="0"/>
    <n v="22620000"/>
    <n v="134125"/>
    <n v="0"/>
    <n v="1654208.3333333288"/>
    <n v="1341250"/>
    <n v="1564791.6666666663"/>
    <n v="0"/>
    <n v="20923500"/>
    <x v="0"/>
    <n v="-9"/>
    <n v="0"/>
    <n v="0"/>
    <n v="0"/>
  </r>
  <r>
    <n v="944"/>
    <x v="6"/>
    <s v="P9200256"/>
    <s v="45898 INF 32H PROM FDT 30AS 30ML"/>
    <x v="1"/>
    <n v="145000"/>
    <n v="66.666666666666998"/>
    <n v="29"/>
    <n v="58.666666666666657"/>
    <n v="103"/>
    <n v="0"/>
    <n v="3"/>
    <n v="0"/>
    <n v="3"/>
    <n v="99"/>
    <n v="72"/>
    <n v="90"/>
    <n v="103"/>
    <n v="52.670454545454554"/>
    <n v="98.999999999999972"/>
    <n v="99"/>
    <n v="98.999999999999972"/>
    <n v="0"/>
    <n v="39.375000000000007"/>
    <n v="0"/>
    <n v="9666666.6666667145"/>
    <n v="4205000"/>
    <n v="8506666.666666666"/>
    <n v="435000"/>
    <n v="14935000"/>
    <n v="134125"/>
    <n v="0"/>
    <n v="8941666.6666667107"/>
    <n v="3889625"/>
    <n v="7868666.6666666651"/>
    <n v="402375"/>
    <n v="13814875"/>
    <x v="0"/>
    <n v="-99"/>
    <n v="0"/>
    <n v="0"/>
    <n v="0"/>
  </r>
  <r>
    <n v="945"/>
    <x v="6"/>
    <s v="P9200298"/>
    <s v="45775 INF 32H PROM FDT 125AS 30ML"/>
    <x v="1"/>
    <n v="145000"/>
    <n v="31.666666666666906"/>
    <n v="25"/>
    <n v="35"/>
    <n v="106"/>
    <n v="0"/>
    <n v="3"/>
    <n v="0"/>
    <n v="3"/>
    <n v="9"/>
    <n v="72"/>
    <n v="90"/>
    <n v="106"/>
    <n v="90.857142857142861"/>
    <n v="21"/>
    <n v="9"/>
    <n v="21"/>
    <n v="0"/>
    <n v="72"/>
    <n v="0"/>
    <n v="4591666.6666667014"/>
    <n v="3625000"/>
    <n v="5075000"/>
    <n v="435000"/>
    <n v="15370000"/>
    <n v="134125"/>
    <n v="0"/>
    <n v="4247291.6666666986"/>
    <n v="3353125"/>
    <n v="4694375"/>
    <n v="402375"/>
    <n v="14217250"/>
    <x v="0"/>
    <n v="-9"/>
    <n v="0"/>
    <n v="0"/>
    <n v="0"/>
  </r>
  <r>
    <n v="946"/>
    <x v="6"/>
    <s v="P9200552"/>
    <s v="SUPERSTAY MATTE INK 335 AS Z"/>
    <x v="3"/>
    <n v="87600"/>
    <n v="4496.6666666666279"/>
    <n v="5486"/>
    <n v="4899.666666666667"/>
    <n v="12096"/>
    <n v="0"/>
    <n v="213"/>
    <n v="0"/>
    <n v="213"/>
    <n v="1008"/>
    <n v="72"/>
    <n v="90"/>
    <n v="12096"/>
    <n v="74.062181100755154"/>
    <n v="7876"/>
    <n v="1008"/>
    <n v="7876"/>
    <n v="6000"/>
    <n v="78.513504320021767"/>
    <n v="525600000"/>
    <n v="393907999.9999966"/>
    <n v="480573600"/>
    <n v="429210800"/>
    <n v="18658800"/>
    <n v="1059609600"/>
    <n v="81030"/>
    <n v="486180000"/>
    <n v="364364899.99999684"/>
    <n v="444530580"/>
    <n v="397019990"/>
    <n v="17259390"/>
    <n v="980138880"/>
    <x v="0"/>
    <n v="4992"/>
    <n v="0"/>
    <n v="0"/>
    <n v="0"/>
  </r>
  <r>
    <n v="947"/>
    <x v="6"/>
    <s v="P9200569"/>
    <s v="SUPERSTAY MATTE INK 350 AS Z"/>
    <x v="3"/>
    <n v="87600"/>
    <n v="4147.6666666666597"/>
    <n v="5424"/>
    <n v="4234.333333333333"/>
    <n v="13782"/>
    <n v="0"/>
    <n v="369"/>
    <n v="0"/>
    <n v="369"/>
    <n v="795"/>
    <n v="72"/>
    <n v="90"/>
    <n v="13782"/>
    <n v="97.64465086987326"/>
    <n v="3976"/>
    <n v="795"/>
    <n v="3976"/>
    <n v="3000"/>
    <n v="83.085098008344488"/>
    <n v="262800000"/>
    <n v="363335599.9999994"/>
    <n v="475142400"/>
    <n v="370927600"/>
    <n v="32324400"/>
    <n v="1207303200"/>
    <n v="81030"/>
    <n v="243090000"/>
    <n v="336085429.99999946"/>
    <n v="439506720"/>
    <n v="343108030"/>
    <n v="29900070"/>
    <n v="1116755460"/>
    <x v="0"/>
    <n v="2205"/>
    <n v="0"/>
    <n v="0"/>
    <n v="0"/>
  </r>
  <r>
    <n v="948"/>
    <x v="6"/>
    <s v="P9200576"/>
    <s v="SUPERSTAY MATTE INK 355 AS Z"/>
    <x v="3"/>
    <n v="87600"/>
    <n v="4131.3333333333294"/>
    <n v="5447"/>
    <n v="4446"/>
    <n v="12804"/>
    <n v="0"/>
    <n v="138"/>
    <n v="0"/>
    <n v="138"/>
    <n v="600"/>
    <n v="72"/>
    <n v="90"/>
    <n v="12804"/>
    <n v="86.396761133603235"/>
    <n v="5843"/>
    <n v="600"/>
    <n v="5843"/>
    <n v="5100"/>
    <n v="84.986504723346826"/>
    <n v="446760000"/>
    <n v="361904799.99999964"/>
    <n v="477157200"/>
    <n v="389469600"/>
    <n v="12088800"/>
    <n v="1121630400"/>
    <n v="81030"/>
    <n v="413253000"/>
    <n v="334761939.9999997"/>
    <n v="441370410"/>
    <n v="360259380"/>
    <n v="11182140"/>
    <n v="1037508120"/>
    <x v="0"/>
    <n v="4500"/>
    <n v="0"/>
    <n v="0"/>
    <n v="0"/>
  </r>
  <r>
    <n v="949"/>
    <x v="6"/>
    <s v="P9200583"/>
    <s v="SUPERSTAY MATTE INK 360 AS Z"/>
    <x v="3"/>
    <n v="87600"/>
    <n v="3271.9999999999973"/>
    <n v="4240"/>
    <n v="3433.666666666667"/>
    <n v="9929"/>
    <n v="0"/>
    <n v="165"/>
    <n v="0"/>
    <n v="165"/>
    <n v="936"/>
    <n v="72"/>
    <n v="90"/>
    <n v="9929"/>
    <n v="86.749830113581197"/>
    <n v="4447"/>
    <n v="936"/>
    <n v="4447"/>
    <n v="2400"/>
    <n v="72.115328608872915"/>
    <n v="210240000"/>
    <n v="286627199.99999976"/>
    <n v="371424000"/>
    <n v="300789200"/>
    <n v="14454000"/>
    <n v="869780400"/>
    <n v="81030"/>
    <n v="194472000"/>
    <n v="265130159.99999979"/>
    <n v="343567200"/>
    <n v="278230010"/>
    <n v="13369950"/>
    <n v="804546870"/>
    <x v="0"/>
    <n v="1464"/>
    <n v="0"/>
    <n v="0"/>
    <n v="0"/>
  </r>
  <r>
    <n v="950"/>
    <x v="6"/>
    <s v="P9206113"/>
    <s v="MYB SUPERSTAY MATTE INK ARTIS ASJP"/>
    <x v="3"/>
    <n v="87600"/>
    <n v="4134.3333333333285"/>
    <n v="6187"/>
    <n v="4671.333333333333"/>
    <n v="14439"/>
    <n v="0"/>
    <n v="369"/>
    <n v="0"/>
    <n v="369"/>
    <n v="585"/>
    <n v="72"/>
    <n v="90"/>
    <n v="14439"/>
    <n v="92.729413443699173"/>
    <n v="5393"/>
    <n v="585"/>
    <n v="5393"/>
    <n v="5100"/>
    <n v="88.118310261167409"/>
    <n v="446760000"/>
    <n v="362167599.99999958"/>
    <n v="541981200"/>
    <n v="409208800"/>
    <n v="32324400"/>
    <n v="1264856400"/>
    <n v="81030"/>
    <n v="413253000"/>
    <n v="335005029.99999958"/>
    <n v="501332610"/>
    <n v="378518140"/>
    <n v="29900070"/>
    <n v="1169992170"/>
    <x v="0"/>
    <n v="4515"/>
    <n v="0"/>
    <n v="0"/>
    <n v="0"/>
  </r>
  <r>
    <n v="951"/>
    <x v="6"/>
    <s v="P9206212"/>
    <s v="MYB SUPERSTAY MATTE INK DANC ASJP"/>
    <x v="3"/>
    <n v="87600"/>
    <n v="3978.9999999999923"/>
    <n v="4944"/>
    <n v="3916"/>
    <n v="13684"/>
    <n v="0"/>
    <n v="99"/>
    <n v="0"/>
    <n v="99"/>
    <n v="876"/>
    <n v="72"/>
    <n v="90"/>
    <n v="13684"/>
    <n v="104.8314606741573"/>
    <n v="2909"/>
    <n v="876"/>
    <n v="2909"/>
    <n v="2400"/>
    <n v="86.100612870275782"/>
    <n v="210240000"/>
    <n v="348560399.99999934"/>
    <n v="433094400"/>
    <n v="343041600"/>
    <n v="8672400"/>
    <n v="1198718400"/>
    <n v="81030"/>
    <n v="194472000"/>
    <n v="322418369.99999934"/>
    <n v="400612320"/>
    <n v="317313480"/>
    <n v="8021970"/>
    <n v="1108814520"/>
    <x v="0"/>
    <n v="1524"/>
    <n v="0"/>
    <n v="0"/>
    <n v="0"/>
  </r>
  <r>
    <n v="952"/>
    <x v="6"/>
    <s v="P9206311"/>
    <s v="MYB SUPERSTAY MATTE INK FOUND ASJP"/>
    <x v="3"/>
    <n v="87600"/>
    <n v="3291.666666666657"/>
    <n v="4988"/>
    <n v="3628.333333333333"/>
    <n v="13628"/>
    <n v="0"/>
    <n v="0"/>
    <n v="0"/>
    <n v="0"/>
    <n v="1080"/>
    <n v="72"/>
    <n v="90"/>
    <n v="13628"/>
    <n v="112.67983463481856"/>
    <n v="2245"/>
    <n v="1080"/>
    <n v="2245"/>
    <n v="1800"/>
    <n v="86.320624712907673"/>
    <n v="157680000"/>
    <n v="288349999.99999917"/>
    <n v="436948800"/>
    <n v="317842000"/>
    <n v="0"/>
    <n v="1193812800"/>
    <n v="81030"/>
    <n v="145854000"/>
    <n v="266723749.99999923"/>
    <n v="404177640"/>
    <n v="294003850"/>
    <n v="0"/>
    <n v="1104276840"/>
    <x v="0"/>
    <n v="720"/>
    <n v="0"/>
    <n v="0"/>
    <n v="0"/>
  </r>
  <r>
    <n v="953"/>
    <x v="6"/>
    <s v="P9206366"/>
    <s v="MYB SUPERSTAY MATTE INK GLOBE ASJP"/>
    <x v="3"/>
    <n v="87600"/>
    <n v="6801.6666666666888"/>
    <n v="9869"/>
    <n v="7812.666666666667"/>
    <n v="21074"/>
    <n v="0"/>
    <n v="2577"/>
    <n v="0"/>
    <n v="2577"/>
    <n v="1368"/>
    <n v="72"/>
    <n v="90"/>
    <n v="21074"/>
    <n v="80.922433654748701"/>
    <n v="9656"/>
    <n v="1368"/>
    <n v="9656"/>
    <n v="9000"/>
    <n v="87.481013738373576"/>
    <n v="788400000"/>
    <n v="595826000.00000191"/>
    <n v="864524400"/>
    <n v="684389600"/>
    <n v="225745200"/>
    <n v="1846082400"/>
    <n v="81030"/>
    <n v="729270000"/>
    <n v="551139050.00000179"/>
    <n v="799685070"/>
    <n v="633060380"/>
    <n v="208814310"/>
    <n v="1707626220"/>
    <x v="0"/>
    <n v="7632"/>
    <n v="0"/>
    <n v="0"/>
    <n v="0"/>
  </r>
  <r>
    <n v="954"/>
    <x v="6"/>
    <s v="P9206410"/>
    <s v="MYB SUPERSTAY MATTE INK GRDBR ASJP"/>
    <x v="3"/>
    <n v="87600"/>
    <n v="6249"/>
    <n v="7703"/>
    <n v="6609.333333333333"/>
    <n v="19692"/>
    <n v="0"/>
    <n v="1596"/>
    <n v="0"/>
    <n v="1590"/>
    <n v="432"/>
    <n v="72"/>
    <n v="90"/>
    <n v="19692"/>
    <n v="89.382691143837008"/>
    <n v="6249"/>
    <n v="438"/>
    <n v="6249"/>
    <n v="6000"/>
    <n v="88.869780108936865"/>
    <n v="525600000"/>
    <n v="547412400"/>
    <n v="674782800"/>
    <n v="578977600"/>
    <n v="139284000"/>
    <n v="1725019200"/>
    <n v="81030"/>
    <n v="486180000"/>
    <n v="506356470"/>
    <n v="624174090"/>
    <n v="535554280"/>
    <n v="128837700"/>
    <n v="1595642760"/>
    <x v="0"/>
    <n v="5562"/>
    <n v="0"/>
    <n v="0"/>
    <n v="0"/>
  </r>
  <r>
    <n v="955"/>
    <x v="6"/>
    <s v="P9206431"/>
    <s v="FIT ME ULTIMATTE TWC  112"/>
    <x v="1"/>
    <n v="107800"/>
    <n v="55.666666666666458"/>
    <n v="35"/>
    <n v="45.333333333333329"/>
    <n v="238"/>
    <n v="0"/>
    <n v="3"/>
    <n v="0"/>
    <n v="3"/>
    <n v="3"/>
    <n v="54"/>
    <n v="90"/>
    <n v="238"/>
    <n v="157.50000000000003"/>
    <n v="0"/>
    <n v="3"/>
    <n v="3"/>
    <n v="0"/>
    <n v="136.32352941176472"/>
    <n v="0"/>
    <n v="6000866.6666666446"/>
    <n v="3773000"/>
    <n v="4886933.333333333"/>
    <n v="323400"/>
    <n v="25656400"/>
    <n v="99715"/>
    <n v="0"/>
    <n v="5550801.6666666456"/>
    <n v="3490025"/>
    <n v="4520413.333333333"/>
    <n v="299145"/>
    <n v="23732170"/>
    <x v="0"/>
    <n v="-3"/>
    <n v="0"/>
    <n v="0"/>
    <n v="0"/>
  </r>
  <r>
    <n v="956"/>
    <x v="6"/>
    <s v="P9206448"/>
    <s v="FIT ME ULTMT TWC SPF 118 AS"/>
    <x v="1"/>
    <n v="107800"/>
    <n v="60.333333333333599"/>
    <n v="38"/>
    <n v="45.666666666666664"/>
    <n v="231"/>
    <n v="0"/>
    <n v="0"/>
    <n v="0"/>
    <n v="0"/>
    <n v="12"/>
    <n v="54"/>
    <n v="90"/>
    <n v="231"/>
    <n v="151.75182481751824"/>
    <n v="0"/>
    <n v="12"/>
    <n v="12"/>
    <n v="0"/>
    <n v="126.78832116788323"/>
    <n v="0"/>
    <n v="6503933.3333333619"/>
    <n v="4096400"/>
    <n v="4922866.666666666"/>
    <n v="0"/>
    <n v="24901800"/>
    <n v="99715"/>
    <n v="0"/>
    <n v="6016138.33333336"/>
    <n v="3789170"/>
    <n v="4553651.666666666"/>
    <n v="0"/>
    <n v="23034165"/>
    <x v="0"/>
    <n v="-12"/>
    <n v="0"/>
    <n v="0"/>
    <n v="0"/>
  </r>
  <r>
    <n v="957"/>
    <x v="6"/>
    <s v="P9206455"/>
    <s v="FIT ME ULTIMATTE TWC  120"/>
    <x v="1"/>
    <n v="107800"/>
    <n v="122.00000000000023"/>
    <n v="94"/>
    <n v="100.33333333333333"/>
    <n v="322"/>
    <n v="0"/>
    <n v="0"/>
    <n v="0"/>
    <n v="0"/>
    <n v="66"/>
    <n v="54"/>
    <n v="90"/>
    <n v="322"/>
    <n v="96.279069767441868"/>
    <n v="73"/>
    <n v="66"/>
    <n v="73"/>
    <n v="0"/>
    <n v="68.17275747508306"/>
    <n v="0"/>
    <n v="13151600.000000024"/>
    <n v="10133200"/>
    <n v="10815933.333333332"/>
    <n v="0"/>
    <n v="34711600"/>
    <n v="99715"/>
    <n v="0"/>
    <n v="12165230.000000022"/>
    <n v="9373210"/>
    <n v="10004738.333333332"/>
    <n v="0"/>
    <n v="32108230"/>
    <x v="0"/>
    <n v="-66"/>
    <n v="0"/>
    <n v="0"/>
    <n v="0"/>
  </r>
  <r>
    <n v="958"/>
    <x v="6"/>
    <s v="P9206465"/>
    <s v="MYB SUPERSTAY MATTE INK INSP ASJP"/>
    <x v="3"/>
    <n v="87600"/>
    <n v="2496.0000000000018"/>
    <n v="3463"/>
    <n v="2515.3333333333335"/>
    <n v="8326"/>
    <n v="0"/>
    <n v="261"/>
    <n v="0"/>
    <n v="261"/>
    <n v="576"/>
    <n v="72"/>
    <n v="90"/>
    <n v="8326"/>
    <n v="99.302941956003167"/>
    <n v="2422"/>
    <n v="576"/>
    <n v="2422"/>
    <n v="2100"/>
    <n v="86.159554730983302"/>
    <n v="183960000"/>
    <n v="218649600.00000015"/>
    <n v="303358800"/>
    <n v="220343200"/>
    <n v="22863600"/>
    <n v="729357600"/>
    <n v="81030"/>
    <n v="170163000"/>
    <n v="202250880.00000015"/>
    <n v="280606890"/>
    <n v="203817460"/>
    <n v="21148830"/>
    <n v="674655780"/>
    <x v="0"/>
    <n v="1524"/>
    <n v="0"/>
    <n v="0"/>
    <n v="0"/>
  </r>
  <r>
    <n v="959"/>
    <x v="6"/>
    <s v="P9206479"/>
    <s v="FIT ME ULTIMATTE TWC  128"/>
    <x v="1"/>
    <n v="107800"/>
    <n v="77.666666666666032"/>
    <n v="48"/>
    <n v="64.666666666666657"/>
    <n v="207"/>
    <n v="0"/>
    <n v="0"/>
    <n v="0"/>
    <n v="0"/>
    <n v="30"/>
    <n v="54"/>
    <n v="90"/>
    <n v="207"/>
    <n v="96.030927835051571"/>
    <n v="34.999999999999972"/>
    <n v="30"/>
    <n v="34.999999999999972"/>
    <n v="0"/>
    <n v="73.762886597938149"/>
    <n v="0"/>
    <n v="8372466.6666665981"/>
    <n v="5174400"/>
    <n v="6971066.666666666"/>
    <n v="0"/>
    <n v="22314600"/>
    <n v="99715"/>
    <n v="0"/>
    <n v="7744531.6666666036"/>
    <n v="4786320"/>
    <n v="6448236.666666666"/>
    <n v="0"/>
    <n v="20641005"/>
    <x v="0"/>
    <n v="-30"/>
    <n v="0"/>
    <n v="0"/>
    <n v="0"/>
  </r>
  <r>
    <n v="960"/>
    <x v="6"/>
    <s v="P9206493"/>
    <s v="FIT ME ULTIMATTE TWC 220"/>
    <x v="1"/>
    <n v="107800"/>
    <n v="41.333333333333009"/>
    <n v="16"/>
    <n v="32.666666666666671"/>
    <n v="193"/>
    <n v="0"/>
    <n v="0"/>
    <n v="0"/>
    <n v="0"/>
    <n v="6"/>
    <n v="54"/>
    <n v="90"/>
    <n v="193"/>
    <n v="177.24489795918367"/>
    <n v="0"/>
    <n v="6"/>
    <n v="6"/>
    <n v="0"/>
    <n v="162.55102040816323"/>
    <n v="0"/>
    <n v="4455733.3333332986"/>
    <n v="1724800"/>
    <n v="3521466.666666667"/>
    <n v="0"/>
    <n v="20805400"/>
    <n v="99715"/>
    <n v="0"/>
    <n v="4121553.3333333009"/>
    <n v="1595440"/>
    <n v="3257356.666666667"/>
    <n v="0"/>
    <n v="19244995"/>
    <x v="0"/>
    <n v="-6"/>
    <n v="0"/>
    <n v="0"/>
    <n v="0"/>
  </r>
  <r>
    <n v="961"/>
    <x v="6"/>
    <s v="P920650A"/>
    <s v="FIT ME ULTIMATTE TWC  228"/>
    <x v="1"/>
    <n v="107800"/>
    <n v="0"/>
    <n v="4"/>
    <n v="1.3333333333333333"/>
    <n v="0"/>
    <n v="0"/>
    <n v="0"/>
    <n v="0"/>
    <n v="0"/>
    <n v="0"/>
    <n v="54"/>
    <n v="90"/>
    <n v="0"/>
    <n v="0"/>
    <n v="8"/>
    <n v="0"/>
    <n v="0"/>
    <n v="0"/>
    <n v="0"/>
    <n v="0"/>
    <n v="0"/>
    <n v="431200"/>
    <n v="143733.33333333331"/>
    <n v="0"/>
    <n v="0"/>
    <n v="99715"/>
    <n v="0"/>
    <n v="0"/>
    <n v="398860"/>
    <n v="132953.33333333331"/>
    <n v="0"/>
    <n v="0"/>
    <x v="0"/>
    <n v="0"/>
    <n v="0"/>
    <n v="0"/>
    <n v="0"/>
  </r>
  <r>
    <n v="962"/>
    <x v="6"/>
    <s v="P9206516"/>
    <s v="FIT ME ULTIMATTE TWC  230"/>
    <x v="1"/>
    <n v="107800"/>
    <n v="7.3333333333333695"/>
    <n v="1"/>
    <n v="4.333333333333333"/>
    <n v="205"/>
    <n v="0"/>
    <n v="0"/>
    <n v="0"/>
    <n v="0"/>
    <n v="0"/>
    <n v="54"/>
    <n v="90"/>
    <n v="205"/>
    <n v="1419.2307692307695"/>
    <n v="0"/>
    <n v="0"/>
    <n v="0"/>
    <n v="0"/>
    <n v="1412.3076923076924"/>
    <n v="0"/>
    <n v="790533.33333333721"/>
    <n v="107800"/>
    <n v="467133.33333333331"/>
    <n v="0"/>
    <n v="22099000"/>
    <n v="99715"/>
    <n v="0"/>
    <n v="731243.33333333698"/>
    <n v="99715"/>
    <n v="432098.33333333331"/>
    <n v="0"/>
    <n v="20441575"/>
    <x v="0"/>
    <n v="0"/>
    <n v="0"/>
    <n v="0"/>
    <n v="0"/>
  </r>
  <r>
    <n v="963"/>
    <x v="6"/>
    <s v="P9206564"/>
    <s v="MYB SUPERSTAY MATTE INK SELFS ASJP"/>
    <x v="3"/>
    <n v="87600"/>
    <n v="4040.6666666666738"/>
    <n v="6072"/>
    <n v="4567.333333333333"/>
    <n v="16314"/>
    <n v="0"/>
    <n v="0"/>
    <n v="0"/>
    <n v="0"/>
    <n v="939"/>
    <n v="72"/>
    <n v="90"/>
    <n v="16314"/>
    <n v="107.15661947161"/>
    <n v="3460"/>
    <n v="939"/>
    <n v="3460"/>
    <n v="3000"/>
    <n v="86.978543278353527"/>
    <n v="262800000"/>
    <n v="353962400.0000006"/>
    <n v="531907200"/>
    <n v="400098400"/>
    <n v="0"/>
    <n v="1429106400"/>
    <n v="81030"/>
    <n v="243090000"/>
    <n v="327415220.0000006"/>
    <n v="492014160"/>
    <n v="370091020"/>
    <n v="0"/>
    <n v="1321923420"/>
    <x v="0"/>
    <n v="2061"/>
    <n v="0"/>
    <n v="0"/>
    <n v="0"/>
  </r>
  <r>
    <n v="964"/>
    <x v="6"/>
    <s v="P9206618"/>
    <s v="MYB SUPERSTAY MATTE INK AMB ASJP"/>
    <x v="3"/>
    <n v="87600"/>
    <n v="10194.333333333367"/>
    <n v="11282"/>
    <n v="10417.333333333336"/>
    <n v="23438"/>
    <n v="0"/>
    <n v="2310"/>
    <n v="0"/>
    <n v="2310"/>
    <n v="2736"/>
    <n v="72"/>
    <n v="90"/>
    <n v="23438"/>
    <n v="67.497120184308187"/>
    <n v="16786.000000000007"/>
    <n v="2736"/>
    <n v="16786.000000000007"/>
    <n v="16000"/>
    <n v="87.736464866248539"/>
    <n v="1401600000"/>
    <n v="893023600.00000298"/>
    <n v="988303200"/>
    <n v="912558400.00000024"/>
    <n v="202356000"/>
    <n v="2053168800"/>
    <n v="81030"/>
    <n v="1296480000"/>
    <n v="826046830.00000274"/>
    <n v="914180460"/>
    <n v="844116520.00000024"/>
    <n v="187179300"/>
    <n v="1899181140"/>
    <x v="0"/>
    <n v="13264"/>
    <n v="0"/>
    <n v="0"/>
    <n v="0"/>
  </r>
  <r>
    <n v="965"/>
    <x v="6"/>
    <s v="P9206663"/>
    <s v="MYB SUPERSTAY MATTE INK ASSER ASJP"/>
    <x v="3"/>
    <n v="87600"/>
    <n v="6432.3333333333194"/>
    <n v="8568"/>
    <n v="6778.3333333333321"/>
    <n v="19233"/>
    <n v="0"/>
    <n v="765"/>
    <n v="0"/>
    <n v="765"/>
    <n v="744"/>
    <n v="72"/>
    <n v="90"/>
    <n v="19233"/>
    <n v="85.12269486107698"/>
    <n v="8904.9999999999964"/>
    <n v="744"/>
    <n v="8904.9999999999964"/>
    <n v="8100"/>
    <n v="86.437177280550785"/>
    <n v="709560000"/>
    <n v="563472399.99999881"/>
    <n v="750556800"/>
    <n v="593781999.99999988"/>
    <n v="67014000"/>
    <n v="1684810800"/>
    <n v="81030"/>
    <n v="656343000"/>
    <n v="521211969.99999887"/>
    <n v="694265040"/>
    <n v="549248349.99999988"/>
    <n v="61987950"/>
    <n v="1558449990"/>
    <x v="0"/>
    <n v="7356"/>
    <n v="0"/>
    <n v="0"/>
    <n v="0"/>
  </r>
  <r>
    <n v="966"/>
    <x v="6"/>
    <s v="P9206717"/>
    <s v="MYB SUPERSTAY MATTE INK DELIC ASJP"/>
    <x v="3"/>
    <n v="87600"/>
    <n v="7255.3333333333303"/>
    <n v="8774"/>
    <n v="7524.6666666666652"/>
    <n v="18740"/>
    <n v="0"/>
    <n v="261"/>
    <n v="0"/>
    <n v="135"/>
    <n v="2232"/>
    <n v="72"/>
    <n v="90"/>
    <n v="18740"/>
    <n v="74.714273057499796"/>
    <n v="12472.999999999996"/>
    <n v="2358"/>
    <n v="12472.999999999996"/>
    <n v="12000"/>
    <n v="88.114202179498548"/>
    <n v="1051200000"/>
    <n v="635567199.99999976"/>
    <n v="768602400"/>
    <n v="659160799.99999988"/>
    <n v="11826000"/>
    <n v="1641624000"/>
    <n v="81030"/>
    <n v="972360000"/>
    <n v="587899659.99999976"/>
    <n v="710957220"/>
    <n v="609723739.99999988"/>
    <n v="10939050"/>
    <n v="1518502200"/>
    <x v="0"/>
    <n v="9642"/>
    <n v="0"/>
    <n v="0"/>
    <n v="0"/>
  </r>
  <r>
    <n v="967"/>
    <x v="6"/>
    <s v="P9206861"/>
    <s v="MYB SUPERSTAY MATTE INK SEEKERASJP"/>
    <x v="3"/>
    <n v="87600"/>
    <n v="9859.6666666667079"/>
    <n v="11664"/>
    <n v="10290"/>
    <n v="27481"/>
    <n v="0"/>
    <n v="954"/>
    <n v="0"/>
    <n v="954"/>
    <n v="681"/>
    <n v="72"/>
    <n v="90"/>
    <n v="27481"/>
    <n v="80.119533527696802"/>
    <n v="14099"/>
    <n v="681"/>
    <n v="14099"/>
    <n v="12000"/>
    <n v="83.880466472303212"/>
    <n v="1051200000"/>
    <n v="863706800.00000358"/>
    <n v="1021766400"/>
    <n v="901404000"/>
    <n v="83570400"/>
    <n v="2407335600"/>
    <n v="81030"/>
    <n v="972360000"/>
    <n v="798928790.00000334"/>
    <n v="945133920"/>
    <n v="833798700"/>
    <n v="77302620"/>
    <n v="2226785430"/>
    <x v="0"/>
    <n v="11319"/>
    <n v="0"/>
    <n v="0"/>
    <n v="0"/>
  </r>
  <r>
    <n v="968"/>
    <x v="6"/>
    <s v="P9207011"/>
    <s v="MYB SUPERSTAY MATTE INK TRANS ASJP"/>
    <x v="3"/>
    <n v="87600"/>
    <n v="3104.6666666666642"/>
    <n v="4359"/>
    <n v="3620.9999999999995"/>
    <n v="9042"/>
    <n v="0"/>
    <n v="1077"/>
    <n v="0"/>
    <n v="1077"/>
    <n v="2235"/>
    <n v="72"/>
    <n v="90"/>
    <n v="9042"/>
    <n v="74.913007456503735"/>
    <n v="5102.9999999999982"/>
    <n v="2235"/>
    <n v="5102.9999999999982"/>
    <n v="4500"/>
    <n v="85.004142502071261"/>
    <n v="394200000"/>
    <n v="271968799.99999976"/>
    <n v="381848400"/>
    <n v="317199599.99999994"/>
    <n v="94345200"/>
    <n v="792079200"/>
    <n v="81030"/>
    <n v="364635000"/>
    <n v="251571139.99999979"/>
    <n v="353209770"/>
    <n v="293409629.99999994"/>
    <n v="87269310"/>
    <n v="732673260"/>
    <x v="0"/>
    <n v="2265"/>
    <n v="0"/>
    <n v="0"/>
    <n v="0"/>
  </r>
  <r>
    <n v="969"/>
    <x v="6"/>
    <s v="P9207066"/>
    <s v="MYB SUPERSTAY MATTE INK VERS ASJP"/>
    <x v="3"/>
    <n v="87600"/>
    <n v="13326.666666666672"/>
    <n v="16980"/>
    <n v="13475.999999999998"/>
    <n v="38867"/>
    <n v="0"/>
    <n v="735"/>
    <n v="0"/>
    <n v="735"/>
    <n v="1296"/>
    <n v="72"/>
    <n v="90"/>
    <n v="38867"/>
    <n v="86.524933214603749"/>
    <n v="17805.999999999993"/>
    <n v="1296"/>
    <n v="17805.999999999993"/>
    <n v="6000"/>
    <n v="63.717720391807674"/>
    <n v="525600000"/>
    <n v="1167416000.0000005"/>
    <n v="1487448000"/>
    <n v="1180497599.9999998"/>
    <n v="64386000"/>
    <n v="3404749200"/>
    <n v="81030"/>
    <n v="486180000"/>
    <n v="1079859800.0000005"/>
    <n v="1375889400"/>
    <n v="1091960279.9999998"/>
    <n v="59557050"/>
    <n v="3149393010"/>
    <x v="0"/>
    <n v="4704"/>
    <n v="0"/>
    <n v="0"/>
    <n v="0"/>
  </r>
  <r>
    <n v="970"/>
    <x v="6"/>
    <s v="P9208503"/>
    <s v="FIT ME PRIMER MATTE PORE SPF ASJP"/>
    <x v="1"/>
    <n v="88200"/>
    <n v="74.3333333333333"/>
    <n v="64"/>
    <n v="73.333333333333343"/>
    <n v="290"/>
    <n v="0"/>
    <n v="9"/>
    <n v="0"/>
    <n v="9"/>
    <n v="75"/>
    <n v="72"/>
    <n v="90"/>
    <n v="290"/>
    <n v="118.63636363636363"/>
    <n v="0"/>
    <n v="75"/>
    <n v="75"/>
    <n v="0"/>
    <n v="96.136363636363626"/>
    <n v="0"/>
    <n v="6556199.9999999972"/>
    <n v="5644800"/>
    <n v="6468000.0000000009"/>
    <n v="793800"/>
    <n v="25578000"/>
    <n v="81585"/>
    <n v="0"/>
    <n v="6064484.9999999972"/>
    <n v="5221440"/>
    <n v="5982900.0000000009"/>
    <n v="734265"/>
    <n v="23659650"/>
    <x v="0"/>
    <n v="-75"/>
    <n v="0"/>
    <n v="0"/>
    <n v="0"/>
  </r>
  <r>
    <n v="971"/>
    <x v="6"/>
    <s v="P9208862"/>
    <s v="SUPERSTAY MATTE INK 365 AS"/>
    <x v="3"/>
    <n v="87600"/>
    <n v="4367.6666666666615"/>
    <n v="5412"/>
    <n v="4437.333333333333"/>
    <n v="12057"/>
    <n v="0"/>
    <n v="792"/>
    <n v="0"/>
    <n v="792"/>
    <n v="576"/>
    <n v="96"/>
    <n v="90"/>
    <n v="12057"/>
    <n v="81.51517427884616"/>
    <n v="5875"/>
    <n v="576"/>
    <n v="5875"/>
    <n v="4500"/>
    <n v="80.703876201923094"/>
    <n v="394200000"/>
    <n v="382607599.99999952"/>
    <n v="474091200"/>
    <n v="388710400"/>
    <n v="69379200"/>
    <n v="1056193200"/>
    <n v="81030"/>
    <n v="364635000"/>
    <n v="353912029.99999958"/>
    <n v="438534360"/>
    <n v="359557120"/>
    <n v="64175760"/>
    <n v="976978710"/>
    <x v="0"/>
    <n v="3924"/>
    <n v="0"/>
    <n v="0"/>
    <n v="0"/>
  </r>
  <r>
    <n v="972"/>
    <x v="6"/>
    <s v="P9208879"/>
    <s v="SUPERSTAY MATTE INK 370 AS"/>
    <x v="3"/>
    <n v="87600"/>
    <n v="3760.666666666677"/>
    <n v="5101"/>
    <n v="4075.3333333333335"/>
    <n v="12788"/>
    <n v="0"/>
    <n v="15"/>
    <n v="0"/>
    <n v="15"/>
    <n v="876"/>
    <n v="96"/>
    <n v="90"/>
    <n v="12788"/>
    <n v="94.13708490103059"/>
    <n v="4524"/>
    <n v="876"/>
    <n v="4524"/>
    <n v="3900"/>
    <n v="85.406510714869938"/>
    <n v="341640000"/>
    <n v="329434400.00000089"/>
    <n v="446847600"/>
    <n v="356999200"/>
    <n v="1314000"/>
    <n v="1120228800"/>
    <n v="81030"/>
    <n v="316017000"/>
    <n v="304726820.00000083"/>
    <n v="413334030"/>
    <n v="330224260"/>
    <n v="1215450"/>
    <n v="1036211640"/>
    <x v="0"/>
    <n v="3024"/>
    <n v="0"/>
    <n v="0"/>
    <n v="0"/>
  </r>
  <r>
    <n v="973"/>
    <x v="6"/>
    <s v="P9208886"/>
    <s v="SUPERSTAY MATTE INK 375 AS"/>
    <x v="3"/>
    <n v="87600"/>
    <n v="5627.9999999999936"/>
    <n v="7295"/>
    <n v="5793.9999999999991"/>
    <n v="16271"/>
    <n v="0"/>
    <n v="480"/>
    <n v="0"/>
    <n v="480"/>
    <n v="1350"/>
    <n v="96"/>
    <n v="90"/>
    <n v="16271"/>
    <n v="84.247497411114963"/>
    <n v="7925.9999999999964"/>
    <n v="1350"/>
    <n v="7925.9999999999964"/>
    <n v="5400"/>
    <n v="76.920952709699705"/>
    <n v="473040000"/>
    <n v="493012799.99999946"/>
    <n v="639042000"/>
    <n v="507554399.99999994"/>
    <n v="42048000"/>
    <n v="1425339600"/>
    <n v="81030"/>
    <n v="437562000"/>
    <n v="456036839.99999946"/>
    <n v="591113850"/>
    <n v="469487819.99999994"/>
    <n v="38894400"/>
    <n v="1318439130"/>
    <x v="0"/>
    <n v="4050"/>
    <n v="0"/>
    <n v="0"/>
    <n v="0"/>
  </r>
  <r>
    <n v="974"/>
    <x v="6"/>
    <s v="P9208893"/>
    <s v="SUPERSTAY MATTE INK 380 AS"/>
    <x v="3"/>
    <n v="87600"/>
    <n v="5265"/>
    <n v="6589"/>
    <n v="5446.666666666667"/>
    <n v="14010"/>
    <n v="0"/>
    <n v="246"/>
    <n v="0"/>
    <n v="120"/>
    <n v="2019"/>
    <n v="96"/>
    <n v="90"/>
    <n v="14010"/>
    <n v="77.166462668298649"/>
    <n v="8799"/>
    <n v="2145"/>
    <n v="8799"/>
    <n v="5400"/>
    <n v="71.278457772337816"/>
    <n v="473040000"/>
    <n v="461214000"/>
    <n v="577196400"/>
    <n v="477128000"/>
    <n v="10512000"/>
    <n v="1227276000"/>
    <n v="81030"/>
    <n v="437562000"/>
    <n v="426622950"/>
    <n v="533906670"/>
    <n v="441343400"/>
    <n v="9723600"/>
    <n v="1135230300"/>
    <x v="0"/>
    <n v="3255"/>
    <n v="0"/>
    <n v="0"/>
    <n v="0"/>
  </r>
  <r>
    <n v="975"/>
    <x v="6"/>
    <s v="P9208909"/>
    <s v="SUPERSTAY MATTE INK 385 AS"/>
    <x v="3"/>
    <n v="87600"/>
    <n v="2724.3333333333399"/>
    <n v="3916"/>
    <n v="3029"/>
    <n v="8228"/>
    <n v="0"/>
    <n v="555"/>
    <n v="0"/>
    <n v="555"/>
    <n v="1056"/>
    <n v="96"/>
    <n v="90"/>
    <n v="8228"/>
    <n v="81.492241663915479"/>
    <n v="4220"/>
    <n v="1056"/>
    <n v="4220"/>
    <n v="3900"/>
    <n v="86.830637173984812"/>
    <n v="341640000"/>
    <n v="238651600.00000057"/>
    <n v="343041600"/>
    <n v="265340400"/>
    <n v="48618000"/>
    <n v="720772800"/>
    <n v="81030"/>
    <n v="316017000"/>
    <n v="220752730.00000054"/>
    <n v="317313480"/>
    <n v="245439870"/>
    <n v="44971650"/>
    <n v="666714840"/>
    <x v="0"/>
    <n v="2844"/>
    <n v="0"/>
    <n v="0"/>
    <n v="0"/>
  </r>
  <r>
    <n v="976"/>
    <x v="6"/>
    <s v="P9211163"/>
    <s v="MYB E.BRW BLST DEF. BLND PNCL N BR"/>
    <x v="1"/>
    <n v="53500"/>
    <n v="-6"/>
    <n v="18"/>
    <n v="0"/>
    <n v="0"/>
    <n v="0"/>
    <n v="0"/>
    <n v="0"/>
    <n v="0"/>
    <n v="0"/>
    <n v="72"/>
    <n v="90"/>
    <n v="0"/>
    <n v="0"/>
    <n v="18"/>
    <n v="0"/>
    <n v="0"/>
    <n v="0"/>
    <n v="0"/>
    <n v="0"/>
    <n v="-321000"/>
    <n v="963000"/>
    <n v="0"/>
    <n v="0"/>
    <n v="0"/>
    <n v="49488"/>
    <n v="0"/>
    <n v="-296928"/>
    <n v="890784"/>
    <n v="0"/>
    <n v="0"/>
    <n v="0"/>
    <x v="0"/>
    <n v="0"/>
    <n v="0"/>
    <n v="0"/>
    <n v="0"/>
  </r>
  <r>
    <n v="977"/>
    <x v="6"/>
    <s v="P9211170"/>
    <s v="MYB E.BRW BLST DEF. BLND PNCL GRBR"/>
    <x v="1"/>
    <n v="53500"/>
    <n v="0"/>
    <n v="0"/>
    <n v="0"/>
    <n v="0"/>
    <n v="0"/>
    <n v="0"/>
    <n v="0"/>
    <n v="0"/>
    <n v="0"/>
    <n v="72"/>
    <n v="90"/>
    <n v="0"/>
    <n v="0"/>
    <n v="0"/>
    <n v="0"/>
    <n v="0"/>
    <n v="0"/>
    <n v="0"/>
    <n v="0"/>
    <n v="0"/>
    <n v="0"/>
    <n v="0"/>
    <n v="0"/>
    <n v="0"/>
    <n v="49488"/>
    <n v="0"/>
    <n v="0"/>
    <n v="0"/>
    <n v="0"/>
    <n v="0"/>
    <n v="0"/>
    <x v="0"/>
    <n v="0"/>
    <n v="0"/>
    <n v="0"/>
    <n v="0"/>
  </r>
  <r>
    <n v="978"/>
    <x v="6"/>
    <s v="P9214668"/>
    <s v="LOR DEX UVP DEFD BRIT CLEAR 50ML"/>
    <x v="1"/>
    <n v="126800"/>
    <n v="379.00000000000136"/>
    <n v="224"/>
    <n v="365.99999999999994"/>
    <n v="8662"/>
    <n v="0"/>
    <n v="132"/>
    <n v="4944"/>
    <n v="132"/>
    <n v="0"/>
    <n v="0"/>
    <n v="90"/>
    <n v="13606"/>
    <n v="1115.2459016393445"/>
    <n v="0"/>
    <n v="0"/>
    <n v="0"/>
    <n v="0"/>
    <n v="1107.7049180327872"/>
    <n v="0"/>
    <n v="48057200.000000171"/>
    <n v="28403200"/>
    <n v="46408799.999999993"/>
    <n v="16737600"/>
    <n v="1725240800"/>
    <n v="117290"/>
    <n v="0"/>
    <n v="44452910.000000156"/>
    <n v="26272960"/>
    <n v="42928139.999999993"/>
    <n v="15482280"/>
    <n v="1595847740"/>
    <x v="0"/>
    <n v="0"/>
    <n v="0"/>
    <n v="0"/>
    <n v="0"/>
  </r>
  <r>
    <n v="979"/>
    <x v="6"/>
    <s v="P9214705"/>
    <s v="LOR DEX UVP DEFD MAT FRSH 50ML"/>
    <x v="1"/>
    <n v="126800"/>
    <n v="213.66666666666794"/>
    <n v="154"/>
    <n v="183.66666666666669"/>
    <n v="1912"/>
    <n v="0"/>
    <n v="12"/>
    <n v="120"/>
    <n v="12"/>
    <n v="0"/>
    <n v="0"/>
    <n v="90"/>
    <n v="2032"/>
    <n v="331.90562613430126"/>
    <n v="0"/>
    <n v="0"/>
    <n v="0"/>
    <n v="0"/>
    <n v="308.71143375680577"/>
    <n v="0"/>
    <n v="27092933.333333496"/>
    <n v="19527200"/>
    <n v="23288933.333333336"/>
    <n v="1521600"/>
    <n v="257657600"/>
    <n v="117290"/>
    <n v="0"/>
    <n v="25060963.333333481"/>
    <n v="18062660"/>
    <n v="21542263.333333336"/>
    <n v="1407480"/>
    <n v="238333280"/>
    <x v="0"/>
    <n v="0"/>
    <n v="0"/>
    <n v="0"/>
    <n v="0"/>
  </r>
  <r>
    <n v="980"/>
    <x v="6"/>
    <s v="P9216013"/>
    <s v="HA CLEANSER 100ML"/>
    <x v="1"/>
    <n v="57900"/>
    <n v="87.3333333333334"/>
    <n v="50"/>
    <n v="82.666666666666657"/>
    <n v="1074"/>
    <n v="0"/>
    <n v="0"/>
    <n v="0"/>
    <n v="0"/>
    <n v="60"/>
    <n v="12"/>
    <n v="90"/>
    <n v="1074"/>
    <n v="389.75806451612908"/>
    <n v="0"/>
    <n v="60"/>
    <n v="0"/>
    <n v="0"/>
    <n v="371.61290322580652"/>
    <n v="0"/>
    <n v="5056600.0000000037"/>
    <n v="2895000"/>
    <n v="4786399.9999999991"/>
    <n v="0"/>
    <n v="62184600"/>
    <n v="53558"/>
    <n v="0"/>
    <n v="4677398.6666666698"/>
    <n v="2677900"/>
    <n v="4427461.333333333"/>
    <n v="0"/>
    <n v="57521292"/>
    <x v="0"/>
    <n v="-60"/>
    <n v="0"/>
    <n v="0"/>
    <n v="0"/>
  </r>
  <r>
    <n v="981"/>
    <x v="6"/>
    <s v="P9216525"/>
    <s v="GLYCO BRIT DAY CRM 50ML AS"/>
    <x v="2"/>
    <n v="150600"/>
    <n v="579.33333333333167"/>
    <n v="646"/>
    <n v="542.66666666666674"/>
    <n v="1621"/>
    <n v="0"/>
    <n v="0"/>
    <n v="0"/>
    <n v="0"/>
    <n v="252"/>
    <n v="12"/>
    <n v="90"/>
    <n v="1621"/>
    <n v="89.613022113022097"/>
    <n v="653"/>
    <n v="252"/>
    <n v="653"/>
    <n v="0"/>
    <n v="53.90049140049139"/>
    <n v="0"/>
    <n v="87247599.999999747"/>
    <n v="97287600"/>
    <n v="81725600.000000015"/>
    <n v="0"/>
    <n v="244122600"/>
    <n v="139305"/>
    <n v="0"/>
    <n v="80704029.999999762"/>
    <n v="89991030"/>
    <n v="75596180.000000015"/>
    <n v="0"/>
    <n v="225813405"/>
    <x v="0"/>
    <n v="-252"/>
    <n v="0"/>
    <n v="0"/>
    <n v="0"/>
  </r>
  <r>
    <n v="982"/>
    <x v="6"/>
    <s v="P9216532"/>
    <s v="GLYCO BRIT FOAM 100ML AS"/>
    <x v="3"/>
    <n v="56100"/>
    <n v="2534.9999999999663"/>
    <n v="2968"/>
    <n v="2951.9999999999991"/>
    <n v="3330"/>
    <n v="0"/>
    <n v="480"/>
    <n v="0"/>
    <n v="480"/>
    <n v="2952"/>
    <n v="12"/>
    <n v="90"/>
    <n v="3330"/>
    <n v="33.841463414634156"/>
    <n v="8013.9999999999964"/>
    <n v="2952"/>
    <n v="8013.9999999999964"/>
    <n v="6000"/>
    <n v="69.532520325203279"/>
    <n v="336600000"/>
    <n v="142213499.99999812"/>
    <n v="166504800"/>
    <n v="165607199.99999994"/>
    <n v="26928000"/>
    <n v="186813000"/>
    <n v="51893"/>
    <n v="311358000"/>
    <n v="131548754.99999826"/>
    <n v="154018424"/>
    <n v="153188135.99999994"/>
    <n v="24908640"/>
    <n v="172803690"/>
    <x v="0"/>
    <n v="3048"/>
    <n v="0"/>
    <n v="0"/>
    <n v="0"/>
  </r>
  <r>
    <n v="983"/>
    <x v="6"/>
    <s v="P9216549"/>
    <s v="GLYCO BRIT FOAM 50ML AS"/>
    <x v="1"/>
    <n v="30900"/>
    <n v="1284.6666666666706"/>
    <n v="1086"/>
    <n v="1142.6666666666663"/>
    <n v="4282"/>
    <n v="0"/>
    <n v="48"/>
    <n v="0"/>
    <n v="48"/>
    <n v="384"/>
    <n v="24"/>
    <n v="90"/>
    <n v="4282"/>
    <n v="112.42123687281217"/>
    <n v="183.99999999999909"/>
    <n v="384"/>
    <n v="384"/>
    <n v="0"/>
    <n v="85.169194865810994"/>
    <n v="0"/>
    <n v="39696200.000000119"/>
    <n v="33557400"/>
    <n v="35308399.999999985"/>
    <n v="1483200"/>
    <n v="132313800"/>
    <n v="28583"/>
    <n v="0"/>
    <n v="36719627.333333448"/>
    <n v="31041138"/>
    <n v="32660841.333333321"/>
    <n v="1371984"/>
    <n v="122392406"/>
    <x v="0"/>
    <n v="-384"/>
    <n v="0"/>
    <n v="0"/>
    <n v="0"/>
  </r>
  <r>
    <n v="984"/>
    <x v="6"/>
    <s v="P9216563"/>
    <s v="GLYCO BRIT NIGHT CRM 50ML AS"/>
    <x v="2"/>
    <n v="150600"/>
    <n v="427.66666666666674"/>
    <n v="480"/>
    <n v="412.66666666666663"/>
    <n v="699"/>
    <n v="0"/>
    <n v="0"/>
    <n v="0"/>
    <n v="0"/>
    <n v="324"/>
    <n v="12"/>
    <n v="90"/>
    <n v="699"/>
    <n v="50.815831987075931"/>
    <n v="1019"/>
    <n v="324"/>
    <n v="1019"/>
    <n v="0"/>
    <n v="15.920840064620359"/>
    <n v="0"/>
    <n v="64406600.000000015"/>
    <n v="72288000"/>
    <n v="62147599.999999993"/>
    <n v="0"/>
    <n v="105269400"/>
    <n v="139305"/>
    <n v="0"/>
    <n v="59576105.000000007"/>
    <n v="66866400"/>
    <n v="57486529.999999993"/>
    <n v="0"/>
    <n v="97374195"/>
    <x v="0"/>
    <n v="-324"/>
    <n v="0"/>
    <n v="0"/>
    <n v="0"/>
  </r>
  <r>
    <n v="985"/>
    <x v="6"/>
    <s v="P9216570"/>
    <s v="GLYCO BRIT SERUM 15ML AS"/>
    <x v="2"/>
    <n v="94500"/>
    <n v="527.99999999999795"/>
    <n v="655"/>
    <n v="573.33333333333326"/>
    <n v="1741"/>
    <n v="0"/>
    <n v="96"/>
    <n v="0"/>
    <n v="96"/>
    <n v="120"/>
    <n v="24"/>
    <n v="90"/>
    <n v="1741"/>
    <n v="91.098837209302332"/>
    <n v="538"/>
    <n v="120"/>
    <n v="538"/>
    <n v="528"/>
    <n v="89.476744186046517"/>
    <n v="49896000"/>
    <n v="49895999.999999806"/>
    <n v="61897500"/>
    <n v="54179999.999999993"/>
    <n v="9072000"/>
    <n v="164524500"/>
    <n v="87413"/>
    <n v="46154064"/>
    <n v="46154063.999999821"/>
    <n v="57255515"/>
    <n v="50116786.666666657"/>
    <n v="8391648"/>
    <n v="152186033"/>
    <x v="0"/>
    <n v="408"/>
    <n v="0"/>
    <n v="0"/>
    <n v="0"/>
  </r>
  <r>
    <n v="986"/>
    <x v="6"/>
    <s v="P9216587"/>
    <s v="GLYCO BRIT SERUM 30ML AS"/>
    <x v="2"/>
    <n v="152800"/>
    <n v="465.33333333333258"/>
    <n v="644"/>
    <n v="495.33333333333331"/>
    <n v="1792"/>
    <n v="0"/>
    <n v="0"/>
    <n v="0"/>
    <n v="0"/>
    <n v="84"/>
    <n v="12"/>
    <n v="90"/>
    <n v="1792"/>
    <n v="108.53297442799462"/>
    <n v="338"/>
    <n v="84"/>
    <n v="338"/>
    <n v="0"/>
    <n v="69.52893674293405"/>
    <n v="0"/>
    <n v="71102933.333333224"/>
    <n v="98403200"/>
    <n v="75686933.333333328"/>
    <n v="0"/>
    <n v="273817600"/>
    <n v="141340"/>
    <n v="0"/>
    <n v="65770213.333333224"/>
    <n v="91022960"/>
    <n v="70010413.333333328"/>
    <n v="0"/>
    <n v="253281280"/>
    <x v="0"/>
    <n v="-84"/>
    <n v="0"/>
    <n v="0"/>
    <n v="0"/>
  </r>
  <r>
    <n v="987"/>
    <x v="6"/>
    <s v="P9217803"/>
    <s v="L17803 DEX REV DRMLFT N CRM 50ML"/>
    <x v="1"/>
    <n v="194500"/>
    <n v="-0.66666666666665997"/>
    <n v="3"/>
    <n v="0.66666666666666663"/>
    <n v="5"/>
    <n v="0"/>
    <n v="0"/>
    <n v="0"/>
    <n v="0"/>
    <n v="0"/>
    <n v="12"/>
    <n v="90"/>
    <n v="5"/>
    <n v="225"/>
    <n v="0"/>
    <n v="0"/>
    <n v="0"/>
    <n v="0"/>
    <n v="90"/>
    <n v="0"/>
    <n v="-129666.66666666536"/>
    <n v="583500"/>
    <n v="129666.66666666666"/>
    <n v="0"/>
    <n v="972500"/>
    <n v="179913"/>
    <n v="0"/>
    <n v="-119941.99999999879"/>
    <n v="539739"/>
    <n v="119942"/>
    <n v="0"/>
    <n v="899565"/>
    <x v="0"/>
    <n v="0"/>
    <n v="0"/>
    <n v="0"/>
    <n v="0"/>
  </r>
  <r>
    <n v="988"/>
    <x v="6"/>
    <s v="P9218338"/>
    <s v="MYB FDT FIT ME MAT PORE PUMP 128"/>
    <x v="1"/>
    <n v="108400"/>
    <n v="173.00000000000077"/>
    <n v="131"/>
    <n v="162.33333333333334"/>
    <n v="374"/>
    <n v="0"/>
    <n v="21"/>
    <n v="0"/>
    <n v="21"/>
    <n v="108"/>
    <n v="72"/>
    <n v="90"/>
    <n v="374"/>
    <n v="69.117043121149891"/>
    <n v="223"/>
    <n v="108"/>
    <n v="223"/>
    <n v="0"/>
    <n v="48.788501026694043"/>
    <n v="0"/>
    <n v="18753200.000000082"/>
    <n v="14200400"/>
    <n v="17596933.333333336"/>
    <n v="2276400"/>
    <n v="40541600"/>
    <n v="100270"/>
    <n v="0"/>
    <n v="17346710.000000078"/>
    <n v="13135370"/>
    <n v="16277163.333333334"/>
    <n v="2105670"/>
    <n v="37500980"/>
    <x v="0"/>
    <n v="-108"/>
    <n v="0"/>
    <n v="0"/>
    <n v="0"/>
  </r>
  <r>
    <n v="989"/>
    <x v="6"/>
    <s v="P9234489"/>
    <s v="DEX RV LIFT CRYS MICRO ESS 65ML"/>
    <x v="1"/>
    <n v="147900"/>
    <n v="42.000000000000298"/>
    <n v="24"/>
    <n v="41.333333333333336"/>
    <n v="245"/>
    <n v="0"/>
    <n v="12"/>
    <n v="0"/>
    <n v="12"/>
    <n v="12"/>
    <n v="12"/>
    <n v="90"/>
    <n v="245"/>
    <n v="177.82258064516128"/>
    <n v="0"/>
    <n v="12"/>
    <n v="0"/>
    <n v="0"/>
    <n v="169.11290322580643"/>
    <n v="0"/>
    <n v="6211800.0000000438"/>
    <n v="3549600"/>
    <n v="6113200"/>
    <n v="1774800"/>
    <n v="36235500"/>
    <n v="136808"/>
    <n v="0"/>
    <n v="5745936.000000041"/>
    <n v="3283392"/>
    <n v="5654730.666666667"/>
    <n v="1641696"/>
    <n v="33517960"/>
    <x v="0"/>
    <n v="-12"/>
    <n v="0"/>
    <n v="0"/>
    <n v="0"/>
  </r>
  <r>
    <n v="990"/>
    <x v="6"/>
    <s v="P9242302"/>
    <s v="MYB FDT FIT ME MAT PORE PUMP 228"/>
    <x v="1"/>
    <n v="108400"/>
    <n v="-0.66666666666673002"/>
    <n v="2"/>
    <n v="0.66666666666666663"/>
    <n v="58"/>
    <n v="0"/>
    <n v="0"/>
    <n v="0"/>
    <n v="0"/>
    <n v="0"/>
    <n v="72"/>
    <n v="90"/>
    <n v="58"/>
    <n v="2610"/>
    <n v="0"/>
    <n v="0"/>
    <n v="0"/>
    <n v="0"/>
    <n v="2520"/>
    <n v="0"/>
    <n v="-72266.66666667354"/>
    <n v="216800"/>
    <n v="72266.666666666657"/>
    <n v="0"/>
    <n v="6287200"/>
    <n v="100270"/>
    <n v="0"/>
    <n v="-66846.666666673016"/>
    <n v="200540"/>
    <n v="66846.666666666657"/>
    <n v="0"/>
    <n v="5815660"/>
    <x v="0"/>
    <n v="0"/>
    <n v="0"/>
    <n v="0"/>
    <n v="0"/>
  </r>
  <r>
    <n v="991"/>
    <x v="6"/>
    <s v="P9243750"/>
    <s v="MYB MSCR COL OS SAL MAGNUM BLACK"/>
    <x v="3"/>
    <n v="59800"/>
    <n v="3916.3333333333394"/>
    <n v="4281"/>
    <n v="4113"/>
    <n v="10185"/>
    <n v="0"/>
    <n v="950"/>
    <n v="0"/>
    <n v="576"/>
    <n v="3510"/>
    <n v="234"/>
    <n v="90"/>
    <n v="10185"/>
    <n v="74.288840262582056"/>
    <n v="5859"/>
    <n v="3884"/>
    <n v="5859"/>
    <n v="4200"/>
    <n v="77.899343544857771"/>
    <n v="251160000"/>
    <n v="234196733.3333337"/>
    <n v="256003800"/>
    <n v="245957400"/>
    <n v="34444800"/>
    <n v="609063000"/>
    <n v="55315"/>
    <n v="232323000"/>
    <n v="216631978.33333367"/>
    <n v="236803515"/>
    <n v="227510595"/>
    <n v="31861440"/>
    <n v="563383275"/>
    <x v="0"/>
    <n v="316"/>
    <n v="0"/>
    <n v="0"/>
    <n v="0"/>
  </r>
  <r>
    <n v="992"/>
    <x v="6"/>
    <s v="P9246877"/>
    <s v="MYB FDT FIT ME MAT PORE PUMP 120"/>
    <x v="1"/>
    <n v="108400"/>
    <n v="236.00000000000031"/>
    <n v="218"/>
    <n v="225.99999999999997"/>
    <n v="430"/>
    <n v="0"/>
    <n v="27"/>
    <n v="0"/>
    <n v="27"/>
    <n v="294"/>
    <n v="72"/>
    <n v="90"/>
    <n v="430"/>
    <n v="57.079646017699126"/>
    <n v="438.99999999999989"/>
    <n v="294"/>
    <n v="438.99999999999989"/>
    <n v="0"/>
    <n v="31.725663716814164"/>
    <n v="0"/>
    <n v="25582400.000000034"/>
    <n v="23631200"/>
    <n v="24498399.999999996"/>
    <n v="2926800"/>
    <n v="46612000"/>
    <n v="100270"/>
    <n v="0"/>
    <n v="23663720.00000003"/>
    <n v="21858860"/>
    <n v="22661019.999999996"/>
    <n v="2707290"/>
    <n v="43116100"/>
    <x v="0"/>
    <n v="-294"/>
    <n v="0"/>
    <n v="0"/>
    <n v="0"/>
  </r>
  <r>
    <n v="993"/>
    <x v="6"/>
    <s v="P9246891"/>
    <s v="MYB FDT FIT ME MAT PORE PUMP 125"/>
    <x v="1"/>
    <n v="108400"/>
    <n v="-3.3333333333333597"/>
    <n v="4"/>
    <n v="-2"/>
    <n v="0"/>
    <n v="0"/>
    <n v="0"/>
    <n v="0"/>
    <n v="0"/>
    <n v="3"/>
    <n v="72"/>
    <n v="90"/>
    <n v="0"/>
    <n v="0"/>
    <n v="0"/>
    <n v="3"/>
    <n v="0"/>
    <n v="0"/>
    <n v="0"/>
    <n v="0"/>
    <n v="-361333.33333333617"/>
    <n v="433600"/>
    <n v="-216800"/>
    <n v="0"/>
    <n v="0"/>
    <n v="100270"/>
    <n v="0"/>
    <n v="-334233.33333333599"/>
    <n v="401080"/>
    <n v="-200540"/>
    <n v="0"/>
    <n v="0"/>
    <x v="0"/>
    <n v="-3"/>
    <n v="0"/>
    <n v="0"/>
    <n v="0"/>
  </r>
  <r>
    <n v="994"/>
    <x v="6"/>
    <s v="P9246921"/>
    <s v="MYB FDT FIT ME MAT PORE PUMP 220"/>
    <x v="1"/>
    <n v="108400"/>
    <n v="120.00000000000014"/>
    <n v="96"/>
    <n v="104.99999999999999"/>
    <n v="321"/>
    <n v="0"/>
    <n v="0"/>
    <n v="0"/>
    <n v="0"/>
    <n v="15"/>
    <n v="72"/>
    <n v="90"/>
    <n v="321"/>
    <n v="91.714285714285722"/>
    <n v="89.999999999999943"/>
    <n v="15"/>
    <n v="89.999999999999943"/>
    <n v="0"/>
    <n v="64.285714285714292"/>
    <n v="0"/>
    <n v="13008000.000000015"/>
    <n v="10406400"/>
    <n v="11381999.999999998"/>
    <n v="0"/>
    <n v="34796400"/>
    <n v="100270"/>
    <n v="0"/>
    <n v="12032400.000000015"/>
    <n v="9625920"/>
    <n v="10528349.999999998"/>
    <n v="0"/>
    <n v="32186670"/>
    <x v="0"/>
    <n v="-15"/>
    <n v="0"/>
    <n v="0"/>
    <n v="0"/>
  </r>
  <r>
    <n v="995"/>
    <x v="6"/>
    <s v="P9247701"/>
    <s v="FIT ME CONCEALER FAIR"/>
    <x v="1"/>
    <n v="88200"/>
    <n v="4.9999999999999698"/>
    <n v="5"/>
    <n v="3.6666666666666665"/>
    <n v="103"/>
    <n v="0"/>
    <n v="0"/>
    <n v="0"/>
    <n v="0"/>
    <n v="3"/>
    <n v="72"/>
    <n v="90"/>
    <n v="103"/>
    <n v="842.72727272727275"/>
    <n v="0"/>
    <n v="3"/>
    <n v="0"/>
    <n v="0"/>
    <n v="801.81818181818176"/>
    <n v="0"/>
    <n v="440999.99999999732"/>
    <n v="441000"/>
    <n v="323400"/>
    <n v="0"/>
    <n v="9084600"/>
    <n v="81585"/>
    <n v="0"/>
    <n v="407924.99999999756"/>
    <n v="407925"/>
    <n v="299145"/>
    <n v="0"/>
    <n v="8403255"/>
    <x v="0"/>
    <n v="-3"/>
    <n v="0"/>
    <n v="0"/>
    <n v="0"/>
  </r>
  <r>
    <n v="996"/>
    <x v="6"/>
    <s v="P9247718"/>
    <s v="FIT ME CONCEALER LIGHT"/>
    <x v="1"/>
    <n v="88200"/>
    <n v="40.333333333333698"/>
    <n v="8"/>
    <n v="26.333333333333332"/>
    <n v="178"/>
    <n v="0"/>
    <n v="0"/>
    <n v="0"/>
    <n v="0"/>
    <n v="21"/>
    <n v="72"/>
    <n v="90"/>
    <n v="178"/>
    <n v="202.7848101265823"/>
    <n v="0"/>
    <n v="21"/>
    <n v="0"/>
    <n v="0"/>
    <n v="193.6708860759494"/>
    <n v="0"/>
    <n v="3557400.0000000321"/>
    <n v="705600"/>
    <n v="2322600"/>
    <n v="0"/>
    <n v="15699600"/>
    <n v="81585"/>
    <n v="0"/>
    <n v="3290595.0000000298"/>
    <n v="652680"/>
    <n v="2148405"/>
    <n v="0"/>
    <n v="14522130"/>
    <x v="0"/>
    <n v="-21"/>
    <n v="0"/>
    <n v="0"/>
    <n v="0"/>
  </r>
  <r>
    <n v="997"/>
    <x v="6"/>
    <s v="P9247725"/>
    <s v="FIT ME CONCEALER MEDIUM"/>
    <x v="1"/>
    <n v="88200"/>
    <n v="14.99999999999997"/>
    <n v="1"/>
    <n v="8"/>
    <n v="86"/>
    <n v="0"/>
    <n v="3"/>
    <n v="0"/>
    <n v="3"/>
    <n v="6"/>
    <n v="72"/>
    <n v="90"/>
    <n v="86"/>
    <n v="322.5"/>
    <n v="0"/>
    <n v="6"/>
    <n v="0"/>
    <n v="0"/>
    <n v="330"/>
    <n v="0"/>
    <n v="1322999.9999999974"/>
    <n v="88200"/>
    <n v="705600"/>
    <n v="264600"/>
    <n v="7585200"/>
    <n v="81585"/>
    <n v="0"/>
    <n v="1223774.9999999974"/>
    <n v="81585"/>
    <n v="652680"/>
    <n v="244755"/>
    <n v="7016310"/>
    <x v="0"/>
    <n v="-6"/>
    <n v="0"/>
    <n v="0"/>
    <n v="0"/>
  </r>
  <r>
    <n v="998"/>
    <x v="6"/>
    <s v="P9247732"/>
    <s v="FIT ME CONCEALER SAND"/>
    <x v="1"/>
    <n v="88200"/>
    <n v="42.666666666666373"/>
    <n v="18"/>
    <n v="36.000000000000007"/>
    <n v="113"/>
    <n v="0"/>
    <n v="9"/>
    <n v="0"/>
    <n v="9"/>
    <n v="9"/>
    <n v="72"/>
    <n v="90"/>
    <n v="113"/>
    <n v="94.166666666666657"/>
    <n v="4.0000000000000284"/>
    <n v="9"/>
    <n v="9"/>
    <n v="0"/>
    <n v="86.666666666666657"/>
    <n v="0"/>
    <n v="3763199.9999999739"/>
    <n v="1587600"/>
    <n v="3175200.0000000005"/>
    <n v="793800"/>
    <n v="9966600"/>
    <n v="81585"/>
    <n v="0"/>
    <n v="3480959.9999999763"/>
    <n v="1468530"/>
    <n v="2937060.0000000005"/>
    <n v="734265"/>
    <n v="9219105"/>
    <x v="0"/>
    <n v="-9"/>
    <n v="0"/>
    <n v="0"/>
    <n v="0"/>
  </r>
  <r>
    <n v="999"/>
    <x v="6"/>
    <s v="P9262393"/>
    <s v="MYB FIT ME MAT+ POR COMPACT PWD112"/>
    <x v="3"/>
    <n v="52900"/>
    <n v="2791.666666666677"/>
    <n v="2984"/>
    <n v="3080.6666666666665"/>
    <n v="4559"/>
    <n v="0"/>
    <n v="66"/>
    <n v="0"/>
    <n v="66"/>
    <n v="2883"/>
    <n v="72"/>
    <n v="90"/>
    <n v="4559"/>
    <n v="44.396234581259471"/>
    <n v="7601"/>
    <n v="2883"/>
    <n v="7601"/>
    <n v="6000"/>
    <n v="74.409218783813031"/>
    <n v="317400000"/>
    <n v="147679166.66666722"/>
    <n v="157853600"/>
    <n v="162967266.66666666"/>
    <n v="3491400"/>
    <n v="241171100"/>
    <n v="48933"/>
    <n v="293598000"/>
    <n v="136604625.00000051"/>
    <n v="146016072"/>
    <n v="150746262"/>
    <n v="3229578"/>
    <n v="223085547"/>
    <x v="0"/>
    <n v="3117"/>
    <n v="0"/>
    <n v="0"/>
    <n v="0"/>
  </r>
  <r>
    <n v="1000"/>
    <x v="6"/>
    <s v="P9262416"/>
    <s v="MYB FIT ME MAT+ POR COMPACT PWD118"/>
    <x v="3"/>
    <n v="52900"/>
    <n v="2999.3333333333294"/>
    <n v="2573"/>
    <n v="3132.333333333333"/>
    <n v="4804"/>
    <n v="0"/>
    <n v="606"/>
    <n v="0"/>
    <n v="606"/>
    <n v="2310"/>
    <n v="72"/>
    <n v="90"/>
    <n v="4804"/>
    <n v="46.010428860274558"/>
    <n v="6560"/>
    <n v="2310"/>
    <n v="6560"/>
    <n v="6000"/>
    <n v="84.636586144514212"/>
    <n v="317400000"/>
    <n v="158664733.33333313"/>
    <n v="136111700"/>
    <n v="165700433.33333331"/>
    <n v="32057400"/>
    <n v="254131600"/>
    <n v="48933"/>
    <n v="293598000"/>
    <n v="146766377.99999982"/>
    <n v="125904609"/>
    <n v="153274467"/>
    <n v="29653398"/>
    <n v="235074132"/>
    <x v="0"/>
    <n v="3690"/>
    <n v="0"/>
    <n v="0"/>
    <n v="0"/>
  </r>
  <r>
    <n v="1001"/>
    <x v="6"/>
    <s v="P9262423"/>
    <s v="MYB FIT ME MAT+ POR COMPACT PWD120"/>
    <x v="3"/>
    <n v="52900"/>
    <n v="2746.3333333333035"/>
    <n v="2878"/>
    <n v="2921.666666666667"/>
    <n v="6467"/>
    <n v="0"/>
    <n v="72"/>
    <n v="0"/>
    <n v="72"/>
    <n v="813"/>
    <n v="72"/>
    <n v="90"/>
    <n v="6467"/>
    <n v="66.403879064460909"/>
    <n v="5104"/>
    <n v="813"/>
    <n v="5104"/>
    <n v="4500"/>
    <n v="83.798060467769531"/>
    <n v="238050000"/>
    <n v="145281033.33333176"/>
    <n v="152246200"/>
    <n v="154556166.66666669"/>
    <n v="3808800"/>
    <n v="342104300"/>
    <n v="48933"/>
    <n v="220198500"/>
    <n v="134386328.99999854"/>
    <n v="140829174"/>
    <n v="142965915"/>
    <n v="3523176"/>
    <n v="316449711"/>
    <x v="0"/>
    <n v="3687"/>
    <n v="0"/>
    <n v="0"/>
    <n v="0"/>
  </r>
  <r>
    <n v="1002"/>
    <x v="6"/>
    <s v="P9262430"/>
    <s v="MYB FIT ME MAT+ POR COMPACT PWD128"/>
    <x v="2"/>
    <n v="52900"/>
    <n v="1445.6666666666661"/>
    <n v="1524"/>
    <n v="1524.9999999999998"/>
    <n v="2965"/>
    <n v="0"/>
    <n v="504"/>
    <n v="0"/>
    <n v="504"/>
    <n v="1152"/>
    <n v="72"/>
    <n v="90"/>
    <n v="2965"/>
    <n v="58.327868852459027"/>
    <n v="2629.9999999999991"/>
    <n v="1152"/>
    <n v="2629.9999999999991"/>
    <n v="1200"/>
    <n v="61.868852459016395"/>
    <n v="63480000"/>
    <n v="76475766.666666642"/>
    <n v="80619600"/>
    <n v="80672499.999999985"/>
    <n v="26661600"/>
    <n v="156848500"/>
    <n v="48933"/>
    <n v="58719600"/>
    <n v="70740806.99999997"/>
    <n v="74573892"/>
    <n v="74622824.999999985"/>
    <n v="24662232"/>
    <n v="145086345"/>
    <x v="0"/>
    <n v="48"/>
    <n v="0"/>
    <n v="0"/>
    <n v="0"/>
  </r>
  <r>
    <n v="1003"/>
    <x v="6"/>
    <s v="P9266701"/>
    <s v="LOR DEX RV DERMA HA SERUM 30ML"/>
    <x v="1"/>
    <n v="194600"/>
    <n v="81"/>
    <n v="67"/>
    <n v="56.333333333333336"/>
    <n v="261"/>
    <n v="0"/>
    <n v="0"/>
    <n v="0"/>
    <n v="0"/>
    <n v="6"/>
    <n v="24"/>
    <n v="90"/>
    <n v="261"/>
    <n v="138.99408284023667"/>
    <n v="0"/>
    <n v="6"/>
    <n v="6"/>
    <n v="0"/>
    <n v="103.31360946745562"/>
    <n v="0"/>
    <n v="15762600"/>
    <n v="13038200"/>
    <n v="10962466.666666668"/>
    <n v="0"/>
    <n v="50790600"/>
    <n v="180005"/>
    <n v="0"/>
    <n v="14580405"/>
    <n v="12060335"/>
    <n v="10140281.666666668"/>
    <n v="0"/>
    <n v="46981305"/>
    <x v="0"/>
    <n v="-6"/>
    <n v="0"/>
    <n v="0"/>
    <n v="0"/>
  </r>
  <r>
    <n v="1004"/>
    <x v="6"/>
    <s v="P9271685"/>
    <s v="LIPST SUPERSTAY MATTE INK 150 AS Z"/>
    <x v="3"/>
    <n v="87600"/>
    <n v="2940.3333333333494"/>
    <n v="3968"/>
    <n v="3111"/>
    <n v="8842"/>
    <n v="0"/>
    <n v="198"/>
    <n v="0"/>
    <n v="72"/>
    <n v="864"/>
    <n v="72"/>
    <n v="90"/>
    <n v="8842"/>
    <n v="85.265188042430083"/>
    <n v="4387"/>
    <n v="990"/>
    <n v="4387"/>
    <n v="3600"/>
    <n v="82.410800385728066"/>
    <n v="315360000"/>
    <n v="257573200.0000014"/>
    <n v="347596800"/>
    <n v="272523600"/>
    <n v="6307200"/>
    <n v="774559200"/>
    <n v="81030"/>
    <n v="291708000"/>
    <n v="238255210.00000131"/>
    <n v="321527040"/>
    <n v="252084330"/>
    <n v="5834160"/>
    <n v="716467260"/>
    <x v="0"/>
    <n v="2610"/>
    <n v="0"/>
    <n v="0"/>
    <n v="0"/>
  </r>
  <r>
    <n v="1005"/>
    <x v="6"/>
    <s v="P9271722"/>
    <s v="LIPST SUPERSTAY MATTE INK 170 AS Z"/>
    <x v="3"/>
    <n v="87600"/>
    <n v="2357.3333333333335"/>
    <n v="3131"/>
    <n v="2454"/>
    <n v="7362"/>
    <n v="0"/>
    <n v="555"/>
    <n v="0"/>
    <n v="429"/>
    <n v="288"/>
    <n v="72"/>
    <n v="90"/>
    <n v="7362"/>
    <n v="90"/>
    <n v="2702"/>
    <n v="414"/>
    <n v="2702"/>
    <n v="2100"/>
    <n v="82.640586797066021"/>
    <n v="183960000"/>
    <n v="206502400"/>
    <n v="274275600"/>
    <n v="214970400"/>
    <n v="37580400"/>
    <n v="644911200"/>
    <n v="81030"/>
    <n v="170163000"/>
    <n v="191014720"/>
    <n v="253704930"/>
    <n v="198847620"/>
    <n v="34761870"/>
    <n v="596542860"/>
    <x v="0"/>
    <n v="1686"/>
    <n v="0"/>
    <n v="0"/>
    <n v="0"/>
  </r>
  <r>
    <n v="1006"/>
    <x v="6"/>
    <s v="P9271739"/>
    <s v="LIPST SUPERSTAY MATTE INK 175 AS Z"/>
    <x v="3"/>
    <n v="87600"/>
    <n v="2987.0000000000105"/>
    <n v="3535"/>
    <n v="2930.3333333333335"/>
    <n v="8299"/>
    <n v="0"/>
    <n v="276"/>
    <n v="0"/>
    <n v="276"/>
    <n v="648"/>
    <n v="72"/>
    <n v="90"/>
    <n v="8299"/>
    <n v="84.963030371971328"/>
    <n v="3751"/>
    <n v="648"/>
    <n v="3751"/>
    <n v="3000"/>
    <n v="82.311454897053807"/>
    <n v="262800000"/>
    <n v="261661200.00000092"/>
    <n v="309666000"/>
    <n v="256697200"/>
    <n v="24177600"/>
    <n v="726992400"/>
    <n v="81030"/>
    <n v="243090000"/>
    <n v="242036610.00000083"/>
    <n v="286441050"/>
    <n v="237444910"/>
    <n v="22364280"/>
    <n v="672467970"/>
    <x v="0"/>
    <n v="2352"/>
    <n v="0"/>
    <n v="0"/>
    <n v="0"/>
  </r>
  <r>
    <n v="1007"/>
    <x v="6"/>
    <s v="P9277264"/>
    <s v="LOR DEX REV HA SERUM 15ML"/>
    <x v="1"/>
    <n v="104500"/>
    <n v="-0.33333333333332998"/>
    <n v="3"/>
    <n v="0.66666666666666674"/>
    <n v="0"/>
    <n v="0"/>
    <n v="0"/>
    <n v="0"/>
    <n v="0"/>
    <n v="0"/>
    <n v="12"/>
    <n v="90"/>
    <n v="0"/>
    <n v="0"/>
    <n v="5"/>
    <n v="0"/>
    <n v="5"/>
    <n v="0"/>
    <n v="0"/>
    <n v="0"/>
    <n v="-34833.333333332987"/>
    <n v="313500"/>
    <n v="69666.666666666672"/>
    <n v="0"/>
    <n v="0"/>
    <n v="96663"/>
    <n v="0"/>
    <n v="-32220.999999999676"/>
    <n v="289989"/>
    <n v="64442.000000000007"/>
    <n v="0"/>
    <n v="0"/>
    <x v="0"/>
    <n v="0"/>
    <n v="0"/>
    <n v="0"/>
    <n v="0"/>
  </r>
  <r>
    <n v="1008"/>
    <x v="6"/>
    <s v="P9281476"/>
    <s v="REV CRYSTAL MICELLAR WTR 400ML"/>
    <x v="1"/>
    <n v="114200"/>
    <n v="51.6666666666667"/>
    <n v="32"/>
    <n v="43.666666666666671"/>
    <n v="234"/>
    <n v="0"/>
    <n v="0"/>
    <n v="0"/>
    <n v="0"/>
    <n v="0"/>
    <n v="24"/>
    <n v="90"/>
    <n v="234"/>
    <n v="160.76335877862593"/>
    <n v="0"/>
    <n v="0"/>
    <n v="0"/>
    <n v="0"/>
    <n v="138.77862595419847"/>
    <n v="0"/>
    <n v="5900333.3333333367"/>
    <n v="3654400"/>
    <n v="4986733.333333334"/>
    <n v="0"/>
    <n v="26722800"/>
    <n v="105635"/>
    <n v="0"/>
    <n v="5457808.3333333367"/>
    <n v="3380320"/>
    <n v="4612728.333333334"/>
    <n v="0"/>
    <n v="24718590"/>
    <x v="0"/>
    <n v="0"/>
    <n v="0"/>
    <n v="0"/>
    <n v="0"/>
  </r>
  <r>
    <n v="1009"/>
    <x v="6"/>
    <s v="P9281660"/>
    <s v="MYB MSCR THEFALS LASHLIFT WTRPROOF"/>
    <x v="3"/>
    <n v="104000"/>
    <n v="2190.6666666666811"/>
    <n v="2546"/>
    <n v="2187.6666666666665"/>
    <n v="5303"/>
    <n v="0"/>
    <n v="786"/>
    <n v="0"/>
    <n v="786"/>
    <n v="540"/>
    <n v="234"/>
    <n v="90"/>
    <n v="5303"/>
    <n v="72.721316471126016"/>
    <n v="3020"/>
    <n v="540"/>
    <n v="3020"/>
    <n v="2400"/>
    <n v="81.497790644522325"/>
    <n v="249600000"/>
    <n v="227829333.33333483"/>
    <n v="264784000"/>
    <n v="227517333.33333331"/>
    <n v="81744000"/>
    <n v="551512000"/>
    <n v="96200"/>
    <n v="230880000"/>
    <n v="210742133.33333471"/>
    <n v="244925200"/>
    <n v="210453533.33333331"/>
    <n v="75613200"/>
    <n v="510148600"/>
    <x v="0"/>
    <n v="1860"/>
    <n v="0"/>
    <n v="0"/>
    <n v="0"/>
  </r>
  <r>
    <n v="1010"/>
    <x v="6"/>
    <s v="P9282806"/>
    <s v="MYB SS MATTE INK EXT AMAZONIAN"/>
    <x v="3"/>
    <n v="87600"/>
    <n v="6652.3333333333276"/>
    <n v="7472"/>
    <n v="6259.333333333333"/>
    <n v="18512"/>
    <n v="0"/>
    <n v="1485"/>
    <n v="0"/>
    <n v="1485"/>
    <n v="1029"/>
    <n v="72"/>
    <n v="90"/>
    <n v="18512"/>
    <n v="88.725103844924917"/>
    <n v="6253"/>
    <n v="1029"/>
    <n v="6253"/>
    <n v="6000"/>
    <n v="88.787410799872191"/>
    <n v="525600000"/>
    <n v="582744399.99999952"/>
    <n v="654547200"/>
    <n v="548317600"/>
    <n v="130086000"/>
    <n v="1621651200"/>
    <n v="81030"/>
    <n v="486180000"/>
    <n v="539038569.99999952"/>
    <n v="605456160"/>
    <n v="507193780"/>
    <n v="120329550"/>
    <n v="1500027360"/>
    <x v="0"/>
    <n v="4971"/>
    <n v="0"/>
    <n v="0"/>
    <n v="0"/>
  </r>
  <r>
    <n v="1011"/>
    <x v="6"/>
    <s v="P9282820"/>
    <s v="MYB SS MATTE INK EXT FIGHTER"/>
    <x v="3"/>
    <n v="87600"/>
    <n v="4947.3333333333348"/>
    <n v="6467"/>
    <n v="5473.666666666667"/>
    <n v="13692"/>
    <n v="0"/>
    <n v="0"/>
    <n v="0"/>
    <n v="0"/>
    <n v="2166"/>
    <n v="72"/>
    <n v="90"/>
    <n v="13692"/>
    <n v="75.042932829912914"/>
    <n v="9196"/>
    <n v="2166"/>
    <n v="9196"/>
    <n v="9000"/>
    <n v="88.925765787710844"/>
    <n v="788400000"/>
    <n v="433386400.00000012"/>
    <n v="566509200"/>
    <n v="479493200"/>
    <n v="0"/>
    <n v="1199419200"/>
    <n v="81030"/>
    <n v="729270000"/>
    <n v="400882420.00000012"/>
    <n v="524021010"/>
    <n v="443531210"/>
    <n v="0"/>
    <n v="1109462760"/>
    <x v="0"/>
    <n v="6834"/>
    <n v="0"/>
    <n v="0"/>
    <n v="0"/>
  </r>
  <r>
    <n v="1012"/>
    <x v="6"/>
    <s v="P9282875"/>
    <s v="MYB SS MATTE INK EXT RULER"/>
    <x v="3"/>
    <n v="87600"/>
    <n v="6067.6666666666706"/>
    <n v="7755"/>
    <n v="6735.6666666666661"/>
    <n v="17111"/>
    <n v="0"/>
    <n v="1086"/>
    <n v="0"/>
    <n v="1086"/>
    <n v="1524"/>
    <n v="72"/>
    <n v="90"/>
    <n v="17111"/>
    <n v="76.210719057752272"/>
    <n v="9765"/>
    <n v="1524"/>
    <n v="9765"/>
    <n v="9000"/>
    <n v="86.59276488345624"/>
    <n v="788400000"/>
    <n v="531527600.00000036"/>
    <n v="679338000"/>
    <n v="590044400"/>
    <n v="95133600"/>
    <n v="1498923600"/>
    <n v="81030"/>
    <n v="729270000"/>
    <n v="491663030.0000003"/>
    <n v="628387650"/>
    <n v="545791070"/>
    <n v="87998580"/>
    <n v="1386504330"/>
    <x v="0"/>
    <n v="7476"/>
    <n v="0"/>
    <n v="0"/>
    <n v="0"/>
  </r>
  <r>
    <n v="1013"/>
    <x v="6"/>
    <s v="P9282882"/>
    <s v="MYB SS MATTE INK EXT SEDUCTRESS"/>
    <x v="3"/>
    <n v="87600"/>
    <n v="5430.9999999999791"/>
    <n v="6960"/>
    <n v="5823"/>
    <n v="15795"/>
    <n v="0"/>
    <n v="45"/>
    <n v="0"/>
    <n v="45"/>
    <n v="954"/>
    <n v="72"/>
    <n v="90"/>
    <n v="15795"/>
    <n v="81.375579598145293"/>
    <n v="8589"/>
    <n v="954"/>
    <n v="8589"/>
    <n v="3600"/>
    <n v="64.2967542503864"/>
    <n v="315360000"/>
    <n v="475755599.99999815"/>
    <n v="609696000"/>
    <n v="510094800"/>
    <n v="3942000"/>
    <n v="1383642000"/>
    <n v="81030"/>
    <n v="291708000"/>
    <n v="440073929.99999833"/>
    <n v="563968800"/>
    <n v="471837690"/>
    <n v="3646350"/>
    <n v="1279868850"/>
    <x v="0"/>
    <n v="2646"/>
    <n v="0"/>
    <n v="0"/>
    <n v="0"/>
  </r>
  <r>
    <n v="1014"/>
    <x v="6"/>
    <s v="P9282943"/>
    <s v="LIPST SUPERSTAY MATTE INK-HEROINE"/>
    <x v="3"/>
    <n v="87600"/>
    <n v="1961.000000000002"/>
    <n v="2572"/>
    <n v="2180.6666666666665"/>
    <n v="7062"/>
    <n v="0"/>
    <n v="324"/>
    <n v="0"/>
    <n v="324"/>
    <n v="297"/>
    <n v="72"/>
    <n v="90"/>
    <n v="7062"/>
    <n v="97.153775603790891"/>
    <n v="1728"/>
    <n v="297"/>
    <n v="1728"/>
    <n v="1200"/>
    <n v="82.736166309996946"/>
    <n v="105120000"/>
    <n v="171783600.00000018"/>
    <n v="225307200"/>
    <n v="191026400"/>
    <n v="28382400"/>
    <n v="618631200"/>
    <n v="81030"/>
    <n v="97236000"/>
    <n v="158899830.00000018"/>
    <n v="208409160"/>
    <n v="176699420"/>
    <n v="26253720"/>
    <n v="572233860"/>
    <x v="0"/>
    <n v="903"/>
    <n v="0"/>
    <n v="0"/>
    <n v="0"/>
  </r>
  <r>
    <n v="1015"/>
    <x v="6"/>
    <s v="P9282950"/>
    <s v="LIPST SUPERSTAY MATTE INK-LOVER"/>
    <x v="2"/>
    <n v="87600"/>
    <n v="1111.3333333333362"/>
    <n v="1229"/>
    <n v="1079.3333333333335"/>
    <n v="3894"/>
    <n v="0"/>
    <n v="141"/>
    <n v="0"/>
    <n v="141"/>
    <n v="360"/>
    <n v="72"/>
    <n v="90"/>
    <n v="3894"/>
    <n v="108.23347745521926"/>
    <n v="432"/>
    <n v="360"/>
    <n v="432"/>
    <n v="432"/>
    <n v="89.999999999999986"/>
    <n v="37843200"/>
    <n v="97352800.000000253"/>
    <n v="107660400"/>
    <n v="94549600.000000015"/>
    <n v="12351600"/>
    <n v="341114400"/>
    <n v="81030"/>
    <n v="35004960"/>
    <n v="90051340.000000238"/>
    <n v="99585870"/>
    <n v="87458380.000000015"/>
    <n v="11425230"/>
    <n v="315530820"/>
    <x v="0"/>
    <n v="72"/>
    <n v="0"/>
    <n v="0"/>
    <n v="0"/>
  </r>
  <r>
    <n v="1016"/>
    <x v="6"/>
    <s v="P9282974"/>
    <s v="LIPST SUPERSTAY MATTE INK-PIONEER"/>
    <x v="3"/>
    <n v="87600"/>
    <n v="4983.0000000000409"/>
    <n v="6011"/>
    <n v="5508.666666666667"/>
    <n v="12580"/>
    <n v="0"/>
    <n v="162"/>
    <n v="0"/>
    <n v="162"/>
    <n v="1380"/>
    <n v="72"/>
    <n v="90"/>
    <n v="12580"/>
    <n v="68.510226310056879"/>
    <n v="9795"/>
    <n v="1380"/>
    <n v="9795"/>
    <n v="6000"/>
    <n v="69.332566864334979"/>
    <n v="525600000"/>
    <n v="436510800.00000358"/>
    <n v="526563600"/>
    <n v="482559200"/>
    <n v="14191200"/>
    <n v="1102008000"/>
    <n v="81030"/>
    <n v="486180000"/>
    <n v="403772490.00000334"/>
    <n v="487071330"/>
    <n v="446367260"/>
    <n v="13126860"/>
    <n v="1019357400"/>
    <x v="0"/>
    <n v="4620"/>
    <n v="0"/>
    <n v="0"/>
    <n v="0"/>
  </r>
  <r>
    <n v="1017"/>
    <x v="6"/>
    <s v="P9282998"/>
    <s v="LIPST SUPERSTAY MATTE INK-VOYAGER"/>
    <x v="3"/>
    <n v="87600"/>
    <n v="3845.6666666666542"/>
    <n v="5120"/>
    <n v="4509.0000000000009"/>
    <n v="11257"/>
    <n v="0"/>
    <n v="1023"/>
    <n v="0"/>
    <n v="1023"/>
    <n v="894"/>
    <n v="72"/>
    <n v="90"/>
    <n v="11257"/>
    <n v="74.89687292082499"/>
    <n v="6367.0000000000036"/>
    <n v="894"/>
    <n v="6367.0000000000036"/>
    <n v="6000"/>
    <n v="87.558216899534244"/>
    <n v="525600000"/>
    <n v="336880399.99999893"/>
    <n v="448512000"/>
    <n v="394988400.00000006"/>
    <n v="89614800"/>
    <n v="986113200"/>
    <n v="81030"/>
    <n v="486180000"/>
    <n v="311614369.99999899"/>
    <n v="414873600"/>
    <n v="365364270.00000006"/>
    <n v="82893690"/>
    <n v="912154710"/>
    <x v="0"/>
    <n v="5106"/>
    <n v="0"/>
    <n v="0"/>
    <n v="0"/>
  </r>
  <r>
    <n v="1018"/>
    <x v="6"/>
    <s v="P9284206"/>
    <s v="M84206 MSCR VOL-EX HYP CURL-BLCK"/>
    <x v="3"/>
    <n v="64800"/>
    <n v="36071.666666666715"/>
    <n v="39066"/>
    <n v="36289.333333333343"/>
    <n v="99043"/>
    <n v="0"/>
    <n v="399"/>
    <n v="0"/>
    <n v="399"/>
    <n v="3978"/>
    <n v="234"/>
    <n v="90"/>
    <n v="99043"/>
    <n v="81.877778594260917"/>
    <n v="48492.000000000029"/>
    <n v="3978"/>
    <n v="48492.000000000029"/>
    <n v="45000"/>
    <n v="87.113201308005998"/>
    <n v="2916000000"/>
    <n v="2337444000.0000033"/>
    <n v="2531476800"/>
    <n v="2351548800.0000005"/>
    <n v="25855200"/>
    <n v="6417986400"/>
    <n v="59940"/>
    <n v="2697300000"/>
    <n v="2162135700.0000029"/>
    <n v="2341616040"/>
    <n v="2175182640.0000005"/>
    <n v="23916060"/>
    <n v="5936637420"/>
    <x v="0"/>
    <n v="41022"/>
    <n v="0"/>
    <n v="0"/>
    <n v="0"/>
  </r>
  <r>
    <n v="1019"/>
    <x v="6"/>
    <s v="P9288751"/>
    <s v="MYB LIPST SSMI ROUGE 285 GRITTY"/>
    <x v="3"/>
    <n v="87600"/>
    <n v="3687.3333333333258"/>
    <n v="4568"/>
    <n v="4128.666666666667"/>
    <n v="0"/>
    <n v="0"/>
    <n v="255"/>
    <n v="36"/>
    <n v="255"/>
    <n v="1584"/>
    <n v="72"/>
    <n v="90"/>
    <n v="36"/>
    <n v="0.26158566123042137"/>
    <n v="16663"/>
    <n v="1548"/>
    <n v="16663"/>
    <n v="16000"/>
    <n v="85.182464072339727"/>
    <n v="1401600000"/>
    <n v="323010399.99999934"/>
    <n v="400156800"/>
    <n v="361671200"/>
    <n v="22338000"/>
    <n v="3153600"/>
    <n v="81030"/>
    <n v="1296480000"/>
    <n v="298784619.9999994"/>
    <n v="370145040"/>
    <n v="334545860"/>
    <n v="20662650"/>
    <n v="2917080"/>
    <x v="0"/>
    <n v="14452"/>
    <n v="0"/>
    <n v="0"/>
    <n v="0"/>
  </r>
  <r>
    <n v="1020"/>
    <x v="6"/>
    <s v="P9288799"/>
    <s v="MYB LIPST SSMI ROUGE 305 UNCONVENT"/>
    <x v="3"/>
    <n v="87600"/>
    <n v="3654.3333333333399"/>
    <n v="5057"/>
    <n v="3981.9999999999991"/>
    <n v="0"/>
    <n v="0"/>
    <n v="186"/>
    <n v="72"/>
    <n v="186"/>
    <n v="531"/>
    <n v="72"/>
    <n v="90"/>
    <n v="72"/>
    <n v="0.54244098442993482"/>
    <n v="16744.999999999996"/>
    <n v="459"/>
    <n v="16744.999999999996"/>
    <n v="16000"/>
    <n v="84.387242591662499"/>
    <n v="1401600000"/>
    <n v="320119600.0000006"/>
    <n v="442993200"/>
    <n v="348823199.99999994"/>
    <n v="16293600"/>
    <n v="6307200"/>
    <n v="81030"/>
    <n v="1296480000"/>
    <n v="296110630.00000054"/>
    <n v="409768710"/>
    <n v="322661459.99999994"/>
    <n v="15071580"/>
    <n v="5834160"/>
    <x v="0"/>
    <n v="15541"/>
    <n v="0"/>
    <n v="0"/>
    <n v="0"/>
  </r>
  <r>
    <n v="1021"/>
    <x v="6"/>
    <s v="P9288812"/>
    <s v="MYB LIPST SSMI ROUGE 315 EXTRAORD"/>
    <x v="3"/>
    <n v="87600"/>
    <n v="3734.6666666666661"/>
    <n v="4593"/>
    <n v="3810.3333333333335"/>
    <n v="2588"/>
    <n v="0"/>
    <n v="1365"/>
    <n v="0"/>
    <n v="1365"/>
    <n v="513"/>
    <n v="72"/>
    <n v="90"/>
    <n v="2588"/>
    <n v="20.376170063861426"/>
    <n v="12071"/>
    <n v="513"/>
    <n v="12071"/>
    <n v="12000"/>
    <n v="89.440993788819867"/>
    <n v="1051200000"/>
    <n v="327156799.99999994"/>
    <n v="402346800"/>
    <n v="333785200"/>
    <n v="119574000"/>
    <n v="226708800"/>
    <n v="81030"/>
    <n v="972360000"/>
    <n v="302620039.99999994"/>
    <n v="372170790"/>
    <n v="308751310"/>
    <n v="110605950"/>
    <n v="209705640"/>
    <x v="0"/>
    <n v="11487"/>
    <n v="0"/>
    <n v="0"/>
    <n v="0"/>
  </r>
  <r>
    <n v="1022"/>
    <x v="6"/>
    <s v="P9299111"/>
    <s v="26590 INF MORETHAN CONCEAL 305AS Z"/>
    <x v="1"/>
    <n v="130800"/>
    <n v="1.3333333333333299"/>
    <n v="3"/>
    <n v="3.3333333333333335"/>
    <n v="21083"/>
    <n v="0"/>
    <n v="0"/>
    <n v="10296"/>
    <n v="0"/>
    <n v="3"/>
    <n v="126"/>
    <n v="90"/>
    <n v="31379"/>
    <n v="9999"/>
    <n v="0"/>
    <n v="0"/>
    <n v="0"/>
    <n v="0"/>
    <n v="282384"/>
    <n v="0"/>
    <n v="174399.99999999956"/>
    <n v="392400"/>
    <n v="436000"/>
    <n v="0"/>
    <n v="4104373200"/>
    <n v="120990"/>
    <n v="0"/>
    <n v="161319.99999999959"/>
    <n v="362970"/>
    <n v="403300"/>
    <n v="0"/>
    <n v="3796545210"/>
    <x v="0"/>
    <n v="0"/>
    <n v="0"/>
    <n v="0"/>
    <n v="0"/>
  </r>
  <r>
    <n v="1023"/>
    <x v="6"/>
    <s v="P9299112"/>
    <s v="26613 INF MORETHAN CONCEAL 307AS Z"/>
    <x v="1"/>
    <n v="130800"/>
    <n v="0"/>
    <n v="3"/>
    <n v="2.666666666666667"/>
    <n v="15230"/>
    <n v="0"/>
    <n v="0"/>
    <n v="9984"/>
    <n v="0"/>
    <n v="0"/>
    <n v="126"/>
    <n v="90"/>
    <n v="25214"/>
    <n v="9999"/>
    <n v="0"/>
    <n v="0"/>
    <n v="0"/>
    <n v="0"/>
    <n v="283623.74999999994"/>
    <n v="0"/>
    <n v="0"/>
    <n v="392400"/>
    <n v="348800.00000000006"/>
    <n v="0"/>
    <n v="3297991200"/>
    <n v="120990"/>
    <n v="0"/>
    <n v="0"/>
    <n v="362970"/>
    <n v="322640.00000000006"/>
    <n v="0"/>
    <n v="3050641860"/>
    <x v="0"/>
    <n v="0"/>
    <n v="0"/>
    <n v="0"/>
    <n v="0"/>
  </r>
  <r>
    <n v="1024"/>
    <x v="6"/>
    <s v="P9299113"/>
    <s v="26637 INF MORETHAN CONCEAL 309AS Z"/>
    <x v="1"/>
    <n v="130800"/>
    <n v="-0.33333333333332998"/>
    <n v="4"/>
    <n v="1.3333333333333333"/>
    <n v="100"/>
    <n v="0"/>
    <n v="0"/>
    <n v="0"/>
    <n v="0"/>
    <n v="0"/>
    <n v="126"/>
    <n v="90"/>
    <n v="100"/>
    <n v="2250"/>
    <n v="0"/>
    <n v="0"/>
    <n v="0"/>
    <n v="0"/>
    <n v="2160"/>
    <n v="0"/>
    <n v="-43599.999999999563"/>
    <n v="523200"/>
    <n v="174400"/>
    <n v="0"/>
    <n v="13080000"/>
    <n v="120990"/>
    <n v="0"/>
    <n v="-40329.999999999593"/>
    <n v="483960"/>
    <n v="161320"/>
    <n v="0"/>
    <n v="12099000"/>
    <x v="0"/>
    <n v="0"/>
    <n v="0"/>
    <n v="0"/>
    <n v="0"/>
  </r>
  <r>
    <n v="1025"/>
    <x v="6"/>
    <s v="P9299125"/>
    <s v="74211 FIT ME FDT M PORE SPF 110 AS"/>
    <x v="1"/>
    <n v="108400"/>
    <n v="16.3333333333334"/>
    <n v="10"/>
    <n v="12"/>
    <n v="128"/>
    <n v="0"/>
    <n v="0"/>
    <n v="0"/>
    <n v="0"/>
    <n v="6"/>
    <n v="24"/>
    <n v="90"/>
    <n v="128"/>
    <n v="320"/>
    <n v="0"/>
    <n v="6"/>
    <n v="0"/>
    <n v="0"/>
    <n v="295"/>
    <n v="0"/>
    <n v="1770533.3333333405"/>
    <n v="1084000"/>
    <n v="1300800"/>
    <n v="0"/>
    <n v="13875200"/>
    <n v="100270"/>
    <n v="0"/>
    <n v="1637743.33333334"/>
    <n v="1002700"/>
    <n v="1203240"/>
    <n v="0"/>
    <n v="12834560"/>
    <x v="0"/>
    <n v="-6"/>
    <n v="0"/>
    <n v="0"/>
    <n v="0"/>
  </r>
  <r>
    <n v="1026"/>
    <x v="6"/>
    <s v="P9299133"/>
    <s v="44914 LINE TATTOO 48H LIQ PEN BK AS"/>
    <x v="2"/>
    <n v="59200"/>
    <n v="1599.0000000000102"/>
    <n v="1866"/>
    <n v="1727.3333333333333"/>
    <n v="4687"/>
    <n v="0"/>
    <n v="738"/>
    <n v="0"/>
    <n v="738"/>
    <n v="1206"/>
    <n v="288"/>
    <n v="90"/>
    <n v="4687"/>
    <n v="81.40293323041297"/>
    <n v="1623"/>
    <n v="1206"/>
    <n v="1623"/>
    <n v="1623"/>
    <n v="90"/>
    <n v="96081600"/>
    <n v="94660800.000000611"/>
    <n v="110467200"/>
    <n v="102258133.33333333"/>
    <n v="43689600"/>
    <n v="277470400"/>
    <n v="54760"/>
    <n v="88875480"/>
    <n v="87561240.000000566"/>
    <n v="102182160"/>
    <n v="94588773.333333328"/>
    <n v="40412880"/>
    <n v="256660120"/>
    <x v="0"/>
    <n v="417"/>
    <n v="0"/>
    <n v="0"/>
    <n v="0"/>
  </r>
  <r>
    <n v="1027"/>
    <x v="6"/>
    <s v="P9299134"/>
    <s v="43467 MBL EYE LIP REMOVER 150ML AS"/>
    <x v="1"/>
    <n v="92000"/>
    <n v="665.99999999999613"/>
    <n v="455"/>
    <n v="563.66666666666674"/>
    <n v="759"/>
    <n v="0"/>
    <n v="42"/>
    <n v="0"/>
    <n v="42"/>
    <n v="585"/>
    <n v="36"/>
    <n v="90"/>
    <n v="759"/>
    <n v="40.396215257244229"/>
    <n v="1345"/>
    <n v="585"/>
    <n v="1345"/>
    <n v="0"/>
    <n v="18.415138971023058"/>
    <n v="0"/>
    <n v="61271999.999999642"/>
    <n v="41860000"/>
    <n v="51857333.333333343"/>
    <n v="3864000"/>
    <n v="69828000"/>
    <n v="85100"/>
    <n v="0"/>
    <n v="56676599.999999672"/>
    <n v="38720500"/>
    <n v="47968033.333333343"/>
    <n v="3574200"/>
    <n v="64590900"/>
    <x v="0"/>
    <n v="-585"/>
    <n v="0"/>
    <n v="0"/>
    <n v="0"/>
  </r>
  <r>
    <n v="1028"/>
    <x v="6"/>
    <s v="P9299135"/>
    <s v="47335 MBL EYE LIP REMOVER 70ML ASJP"/>
    <x v="1"/>
    <n v="60500"/>
    <n v="744.66666666666629"/>
    <n v="427"/>
    <n v="604.99999999999989"/>
    <n v="1058"/>
    <n v="0"/>
    <n v="30"/>
    <n v="0"/>
    <n v="30"/>
    <n v="507"/>
    <n v="60"/>
    <n v="90"/>
    <n v="1058"/>
    <n v="52.462809917355379"/>
    <n v="1153.9999999999995"/>
    <n v="507"/>
    <n v="1153.9999999999995"/>
    <n v="0"/>
    <n v="32.77685950413224"/>
    <n v="0"/>
    <n v="45052333.333333313"/>
    <n v="25833500"/>
    <n v="36602499.999999993"/>
    <n v="1815000"/>
    <n v="64009000"/>
    <n v="55963"/>
    <n v="0"/>
    <n v="41673780.666666642"/>
    <n v="23896201"/>
    <n v="33857614.999999993"/>
    <n v="1678890"/>
    <n v="59208854"/>
    <x v="0"/>
    <n v="-507"/>
    <n v="0"/>
    <n v="0"/>
    <n v="0"/>
  </r>
  <r>
    <n v="1029"/>
    <x v="6"/>
    <s v="P9299193"/>
    <s v="20836 UVD ANTI AGING SERUM 30ML EBT"/>
    <x v="1"/>
    <n v="114600"/>
    <n v="73.333333333333073"/>
    <n v="47"/>
    <n v="63.333333333333343"/>
    <n v="508"/>
    <n v="0"/>
    <n v="0"/>
    <n v="0"/>
    <n v="0"/>
    <n v="36"/>
    <n v="12"/>
    <n v="90"/>
    <n v="508"/>
    <n v="240.63157894736838"/>
    <n v="0"/>
    <n v="36"/>
    <n v="0"/>
    <n v="0"/>
    <n v="218.36842105263153"/>
    <n v="0"/>
    <n v="8403999.9999999702"/>
    <n v="5386200"/>
    <n v="7258000.0000000009"/>
    <n v="0"/>
    <n v="58216800"/>
    <n v="106005"/>
    <n v="0"/>
    <n v="7773699.9999999721"/>
    <n v="4982235"/>
    <n v="6713650.0000000009"/>
    <n v="0"/>
    <n v="53850540"/>
    <x v="0"/>
    <n v="-36"/>
    <n v="0"/>
    <n v="0"/>
    <n v="0"/>
  </r>
  <r>
    <n v="1030"/>
    <x v="6"/>
    <s v="P9299194"/>
    <s v="20423 UV SHAKA 30 ML AS"/>
    <x v="1"/>
    <n v="67000"/>
    <n v="129.33333333333309"/>
    <n v="70"/>
    <n v="103.66666666666667"/>
    <n v="654"/>
    <n v="0"/>
    <n v="0"/>
    <n v="0"/>
    <n v="0"/>
    <n v="78"/>
    <n v="24"/>
    <n v="90"/>
    <n v="654"/>
    <n v="189.26045016077168"/>
    <n v="0"/>
    <n v="78"/>
    <n v="0"/>
    <n v="0"/>
    <n v="169.00321543408359"/>
    <n v="0"/>
    <n v="8665333.3333333172"/>
    <n v="4690000"/>
    <n v="6945666.666666667"/>
    <n v="0"/>
    <n v="43818000"/>
    <n v="61975"/>
    <n v="0"/>
    <n v="8015433.3333333181"/>
    <n v="4338250"/>
    <n v="6424741.666666667"/>
    <n v="0"/>
    <n v="40531650"/>
    <x v="0"/>
    <n v="-78"/>
    <n v="0"/>
    <n v="0"/>
    <n v="0"/>
  </r>
  <r>
    <n v="1031"/>
    <x v="6"/>
    <s v="P9299202"/>
    <s v="52773 SPRSTY VINYL INK 105GOLDEN AS"/>
    <x v="1"/>
    <n v="90100"/>
    <n v="516.66666666666242"/>
    <n v="215"/>
    <n v="440.66666666666663"/>
    <n v="1278"/>
    <n v="0"/>
    <n v="36"/>
    <n v="0"/>
    <n v="36"/>
    <n v="288"/>
    <n v="126"/>
    <n v="90"/>
    <n v="1278"/>
    <n v="87.004538577912271"/>
    <n v="223"/>
    <n v="288"/>
    <n v="288"/>
    <n v="0"/>
    <n v="74.818456883509839"/>
    <n v="0"/>
    <n v="46551666.666666284"/>
    <n v="19371500"/>
    <n v="39704066.666666664"/>
    <n v="3243600"/>
    <n v="115147800"/>
    <n v="83343"/>
    <n v="0"/>
    <n v="43060549.99999965"/>
    <n v="17918745"/>
    <n v="36726482"/>
    <n v="3000348"/>
    <n v="106512354"/>
    <x v="0"/>
    <n v="-288"/>
    <n v="0"/>
    <n v="0"/>
    <n v="0"/>
  </r>
  <r>
    <n v="1032"/>
    <x v="6"/>
    <s v="P9299213"/>
    <s v="53275 LE MATTE RESIS NUDE 115 AS X"/>
    <x v="2"/>
    <n v="98600"/>
    <n v="859.6666666666614"/>
    <n v="892"/>
    <n v="840.66666666666663"/>
    <n v="2726"/>
    <n v="0"/>
    <n v="330"/>
    <n v="0"/>
    <n v="330"/>
    <n v="564"/>
    <n v="126"/>
    <n v="90"/>
    <n v="2726"/>
    <n v="97.279936558287076"/>
    <n v="358"/>
    <n v="564"/>
    <n v="564"/>
    <n v="0"/>
    <n v="77.224425059476616"/>
    <n v="0"/>
    <n v="84763133.333332807"/>
    <n v="87951200"/>
    <n v="82889733.333333328"/>
    <n v="32538000"/>
    <n v="268783600"/>
    <n v="91205"/>
    <n v="0"/>
    <n v="78405898.333332852"/>
    <n v="81354860"/>
    <n v="76673003.333333328"/>
    <n v="30097650"/>
    <n v="248624830"/>
    <x v="0"/>
    <n v="-564"/>
    <n v="0"/>
    <n v="0"/>
    <n v="0"/>
  </r>
  <r>
    <n v="1033"/>
    <x v="6"/>
    <s v="P9299214"/>
    <s v="53282 LE MATTE RESIS NUDE 120 AS X"/>
    <x v="1"/>
    <n v="98600"/>
    <n v="-8.3333333333333997"/>
    <n v="36"/>
    <n v="5.3333333333333321"/>
    <n v="6"/>
    <n v="0"/>
    <n v="11"/>
    <n v="0"/>
    <n v="0"/>
    <n v="6"/>
    <n v="126"/>
    <n v="90"/>
    <n v="6"/>
    <n v="33.750000000000007"/>
    <n v="46"/>
    <n v="17"/>
    <n v="46"/>
    <n v="0"/>
    <n v="0"/>
    <n v="0"/>
    <n v="-821666.66666667326"/>
    <n v="3549600"/>
    <n v="525866.66666666651"/>
    <n v="0"/>
    <n v="591600"/>
    <n v="91205"/>
    <n v="0"/>
    <n v="-760041.66666667268"/>
    <n v="3283380"/>
    <n v="486426.66666666657"/>
    <n v="0"/>
    <n v="547230"/>
    <x v="0"/>
    <n v="-17"/>
    <n v="0"/>
    <n v="0"/>
    <n v="0"/>
  </r>
  <r>
    <n v="1034"/>
    <x v="6"/>
    <s v="P9299215"/>
    <s v="53299 LE MATTE RESIS NUDE 150 AS X"/>
    <x v="1"/>
    <n v="98600"/>
    <n v="51.666666666666998"/>
    <n v="26"/>
    <n v="46.333333333333336"/>
    <n v="1156"/>
    <n v="0"/>
    <n v="48"/>
    <n v="0"/>
    <n v="48"/>
    <n v="12"/>
    <n v="126"/>
    <n v="90"/>
    <n v="1156"/>
    <n v="748.48920863309343"/>
    <n v="0"/>
    <n v="12"/>
    <n v="0"/>
    <n v="0"/>
    <n v="762.73381294964031"/>
    <n v="0"/>
    <n v="5094333.3333333656"/>
    <n v="2563600"/>
    <n v="4568466.666666667"/>
    <n v="4732800"/>
    <n v="113981600"/>
    <n v="91205"/>
    <n v="0"/>
    <n v="4712258.3333333638"/>
    <n v="2371330"/>
    <n v="4225831.666666667"/>
    <n v="4377840"/>
    <n v="105432980"/>
    <x v="0"/>
    <n v="-12"/>
    <n v="0"/>
    <n v="0"/>
    <n v="0"/>
  </r>
  <r>
    <n v="1035"/>
    <x v="6"/>
    <s v="P9299216"/>
    <s v="53305 LE MATTE RESIS PINK 210 AS X"/>
    <x v="1"/>
    <n v="98600"/>
    <n v="458.66666666666606"/>
    <n v="392"/>
    <n v="421"/>
    <n v="1503"/>
    <n v="0"/>
    <n v="144"/>
    <n v="0"/>
    <n v="144"/>
    <n v="426"/>
    <n v="126"/>
    <n v="90"/>
    <n v="1503"/>
    <n v="107.10213776722091"/>
    <n v="8"/>
    <n v="426"/>
    <n v="426"/>
    <n v="0"/>
    <n v="89.429928741092638"/>
    <n v="0"/>
    <n v="45224533.333333276"/>
    <n v="38651200"/>
    <n v="41510600"/>
    <n v="14198400"/>
    <n v="148195800"/>
    <n v="91205"/>
    <n v="0"/>
    <n v="41832693.333333276"/>
    <n v="35752360"/>
    <n v="38397305"/>
    <n v="13133520"/>
    <n v="137081115"/>
    <x v="0"/>
    <n v="-426"/>
    <n v="0"/>
    <n v="0"/>
    <n v="0"/>
  </r>
  <r>
    <n v="1036"/>
    <x v="6"/>
    <s v="P9299217"/>
    <s v="53312 LE MATTE RESIS PINK 230 AS X"/>
    <x v="1"/>
    <n v="98600"/>
    <n v="690.99999999999727"/>
    <n v="432"/>
    <n v="563"/>
    <n v="1662"/>
    <n v="0"/>
    <n v="108"/>
    <n v="0"/>
    <n v="108"/>
    <n v="417"/>
    <n v="126"/>
    <n v="90"/>
    <n v="1662"/>
    <n v="88.561278863232687"/>
    <n v="351"/>
    <n v="417"/>
    <n v="417"/>
    <n v="0"/>
    <n v="71.296625222024872"/>
    <n v="0"/>
    <n v="68132599.999999732"/>
    <n v="42595200"/>
    <n v="55511800"/>
    <n v="10648800"/>
    <n v="163873200"/>
    <n v="91205"/>
    <n v="0"/>
    <n v="63022654.999999754"/>
    <n v="39400560"/>
    <n v="51348415"/>
    <n v="9850140"/>
    <n v="151582710"/>
    <x v="0"/>
    <n v="-417"/>
    <n v="0"/>
    <n v="0"/>
    <n v="0"/>
  </r>
  <r>
    <n v="1037"/>
    <x v="6"/>
    <s v="P9299218"/>
    <s v="53336 LE MATTE RESIS PINK 245 AS X"/>
    <x v="1"/>
    <n v="98600"/>
    <n v="411.00000000000159"/>
    <n v="270"/>
    <n v="341.99999999999994"/>
    <n v="963"/>
    <n v="0"/>
    <n v="63"/>
    <n v="0"/>
    <n v="63"/>
    <n v="72"/>
    <n v="126"/>
    <n v="90"/>
    <n v="963"/>
    <n v="84.473684210526329"/>
    <n v="269.99999999999977"/>
    <n v="72"/>
    <n v="269.99999999999977"/>
    <n v="0"/>
    <n v="66.31578947368422"/>
    <n v="0"/>
    <n v="40524600.000000156"/>
    <n v="26622000"/>
    <n v="33721199.999999993"/>
    <n v="6211800"/>
    <n v="94951800"/>
    <n v="91205"/>
    <n v="0"/>
    <n v="37485255.000000142"/>
    <n v="24625350"/>
    <n v="31192109.999999996"/>
    <n v="5745915"/>
    <n v="87830415"/>
    <x v="0"/>
    <n v="-72"/>
    <n v="0"/>
    <n v="0"/>
    <n v="0"/>
  </r>
  <r>
    <n v="1038"/>
    <x v="6"/>
    <s v="P9299219"/>
    <s v="53343 LE MATTE RES PLUM 500MTS ASX"/>
    <x v="1"/>
    <n v="98600"/>
    <n v="163.99999999999966"/>
    <n v="101"/>
    <n v="123.66666666666666"/>
    <n v="532"/>
    <n v="0"/>
    <n v="0"/>
    <n v="0"/>
    <n v="0"/>
    <n v="48"/>
    <n v="126"/>
    <n v="90"/>
    <n v="532"/>
    <n v="129.0566037735849"/>
    <n v="0"/>
    <n v="48"/>
    <n v="48"/>
    <n v="0"/>
    <n v="104.55525606469004"/>
    <n v="0"/>
    <n v="16170399.999999966"/>
    <n v="9958600"/>
    <n v="12193533.333333332"/>
    <n v="0"/>
    <n v="52455200"/>
    <n v="91205"/>
    <n v="0"/>
    <n v="14957619.999999968"/>
    <n v="9211705"/>
    <n v="11279018.333333332"/>
    <n v="0"/>
    <n v="48521060"/>
    <x v="0"/>
    <n v="-48"/>
    <n v="0"/>
    <n v="0"/>
    <n v="0"/>
  </r>
  <r>
    <n v="1039"/>
    <x v="6"/>
    <s v="P9299220"/>
    <s v="53367 LE MATTE RESIS RED 420 AS X"/>
    <x v="1"/>
    <n v="98600"/>
    <n v="354.33333333333201"/>
    <n v="306"/>
    <n v="289.66666666666669"/>
    <n v="1354"/>
    <n v="0"/>
    <n v="15"/>
    <n v="0"/>
    <n v="15"/>
    <n v="36"/>
    <n v="126"/>
    <n v="90"/>
    <n v="1354"/>
    <n v="140.23014959723818"/>
    <n v="0"/>
    <n v="36"/>
    <n v="36"/>
    <n v="0"/>
    <n v="110.09205983889528"/>
    <n v="0"/>
    <n v="34937266.666666538"/>
    <n v="30171600"/>
    <n v="28561133.333333336"/>
    <n v="1479000"/>
    <n v="133504400"/>
    <n v="91205"/>
    <n v="0"/>
    <n v="32316971.666666545"/>
    <n v="27908730"/>
    <n v="26419048.333333336"/>
    <n v="1368075"/>
    <n v="123491570"/>
    <x v="0"/>
    <n v="-36"/>
    <n v="0"/>
    <n v="0"/>
    <n v="0"/>
  </r>
  <r>
    <n v="1040"/>
    <x v="6"/>
    <s v="P9299221"/>
    <s v="27465 GAR CLR NAT HAIR-1 NAT BLACK"/>
    <x v="3"/>
    <n v="49700"/>
    <n v="28"/>
    <n v="34"/>
    <n v="27.333333333333336"/>
    <n v="120"/>
    <n v="0"/>
    <n v="0"/>
    <n v="0"/>
    <n v="0"/>
    <n v="0"/>
    <n v="12"/>
    <n v="90"/>
    <n v="120"/>
    <n v="131.70731707317071"/>
    <n v="0"/>
    <n v="0"/>
    <n v="0"/>
    <n v="0"/>
    <n v="94.390243902439011"/>
    <n v="0"/>
    <n v="1391600"/>
    <n v="1689800"/>
    <n v="1358466.6666666667"/>
    <n v="0"/>
    <n v="5964000"/>
    <n v="45973"/>
    <n v="0"/>
    <n v="1287244"/>
    <n v="1563082"/>
    <n v="1256595.3333333335"/>
    <n v="0"/>
    <n v="5516760"/>
    <x v="0"/>
    <n v="0"/>
    <n v="0"/>
    <n v="0"/>
    <n v="0"/>
  </r>
  <r>
    <n v="1041"/>
    <x v="6"/>
    <s v="P9299222"/>
    <s v="38515 GAR CLR NAT ASEAN KITS 5.32"/>
    <x v="3"/>
    <n v="49700"/>
    <n v="16"/>
    <n v="17"/>
    <n v="13.666666666666666"/>
    <n v="6"/>
    <n v="0"/>
    <n v="0"/>
    <n v="0"/>
    <n v="0"/>
    <n v="48"/>
    <n v="48"/>
    <n v="90"/>
    <n v="6"/>
    <n v="13.170731707317072"/>
    <n v="52"/>
    <n v="48"/>
    <n v="52"/>
    <n v="48"/>
    <n v="81.219512195121951"/>
    <n v="2385600"/>
    <n v="795200"/>
    <n v="844900"/>
    <n v="679233.33333333326"/>
    <n v="0"/>
    <n v="298200"/>
    <n v="45973"/>
    <n v="2206704"/>
    <n v="735568"/>
    <n v="781541"/>
    <n v="628297.66666666663"/>
    <n v="0"/>
    <n v="275838"/>
    <x v="0"/>
    <n v="0"/>
    <n v="0"/>
    <n v="0"/>
    <n v="0"/>
  </r>
  <r>
    <n v="1042"/>
    <x v="6"/>
    <s v="P9299223"/>
    <s v="39314 GAR CLR NAT KIT GOLD BRWN7.3"/>
    <x v="2"/>
    <n v="49700"/>
    <n v="3"/>
    <n v="7"/>
    <n v="5.3333333333333339"/>
    <n v="0"/>
    <n v="0"/>
    <n v="0"/>
    <n v="0"/>
    <n v="0"/>
    <n v="0"/>
    <n v="12"/>
    <n v="90"/>
    <n v="0"/>
    <n v="0"/>
    <n v="23"/>
    <n v="0"/>
    <n v="23"/>
    <n v="12"/>
    <n v="28.124999999999996"/>
    <n v="596400"/>
    <n v="149100"/>
    <n v="347900"/>
    <n v="265066.66666666669"/>
    <n v="0"/>
    <n v="0"/>
    <n v="45973"/>
    <n v="551676"/>
    <n v="137919"/>
    <n v="321811"/>
    <n v="245189.33333333337"/>
    <n v="0"/>
    <n v="0"/>
    <x v="0"/>
    <n v="12"/>
    <n v="0"/>
    <n v="0"/>
    <n v="0"/>
  </r>
  <r>
    <n v="1043"/>
    <x v="6"/>
    <s v="P9299224"/>
    <s v="40068 GAR CLR NAT ASEAN 5.32 BOX"/>
    <x v="3"/>
    <n v="15800"/>
    <n v="3845.6666666667002"/>
    <n v="7176"/>
    <n v="4563.6666666666661"/>
    <n v="11047"/>
    <n v="0"/>
    <n v="0"/>
    <n v="0"/>
    <n v="0"/>
    <n v="96"/>
    <n v="96"/>
    <n v="90"/>
    <n v="11047"/>
    <n v="72.619238916076256"/>
    <n v="9820"/>
    <n v="96"/>
    <n v="9820"/>
    <n v="6000"/>
    <n v="64.88861295741728"/>
    <n v="94800000"/>
    <n v="60761533.333333865"/>
    <n v="113380800"/>
    <n v="72105933.333333328"/>
    <n v="0"/>
    <n v="174542600"/>
    <n v="14615"/>
    <n v="87690000"/>
    <n v="56204418.33333382"/>
    <n v="104877240"/>
    <n v="66697988.333333321"/>
    <n v="0"/>
    <n v="161451905"/>
    <x v="0"/>
    <n v="5904"/>
    <n v="0"/>
    <n v="0"/>
    <n v="0"/>
  </r>
  <r>
    <n v="1044"/>
    <x v="6"/>
    <s v="P9299225"/>
    <s v="40112 GAR CLR NAT ASEAN 6.64 BOX"/>
    <x v="2"/>
    <n v="15800"/>
    <n v="915.66666666667004"/>
    <n v="1437"/>
    <n v="778.66666666666663"/>
    <n v="5547"/>
    <n v="0"/>
    <n v="0"/>
    <n v="0"/>
    <n v="0"/>
    <n v="0"/>
    <n v="96"/>
    <n v="90"/>
    <n v="5547"/>
    <n v="213.71147260273972"/>
    <n v="0"/>
    <n v="0"/>
    <n v="0"/>
    <n v="0"/>
    <n v="158.34760273972603"/>
    <n v="0"/>
    <n v="14467533.333333386"/>
    <n v="22704600"/>
    <n v="12302933.333333332"/>
    <n v="0"/>
    <n v="87642600"/>
    <n v="14615"/>
    <n v="0"/>
    <n v="13382468.333333382"/>
    <n v="21001755"/>
    <n v="11380213.333333332"/>
    <n v="0"/>
    <n v="81069405"/>
    <x v="0"/>
    <n v="0"/>
    <n v="0"/>
    <n v="0"/>
    <n v="0"/>
  </r>
  <r>
    <n v="1045"/>
    <x v="6"/>
    <s v="P9299226"/>
    <s v="09910 GAR CLR NAT EX 1 SCH BOX"/>
    <x v="3"/>
    <n v="15800"/>
    <n v="3791"/>
    <n v="6786"/>
    <n v="5271.0000000000009"/>
    <n v="10971"/>
    <n v="0"/>
    <n v="0"/>
    <n v="0"/>
    <n v="0"/>
    <n v="0"/>
    <n v="96"/>
    <n v="90"/>
    <n v="10971"/>
    <n v="62.441661923733626"/>
    <n v="11628.000000000004"/>
    <n v="0"/>
    <n v="11628.000000000004"/>
    <n v="9600"/>
    <n v="78.45759817871371"/>
    <n v="151680000"/>
    <n v="59897800"/>
    <n v="107218800"/>
    <n v="83281800.000000015"/>
    <n v="0"/>
    <n v="173341800"/>
    <n v="14615"/>
    <n v="140304000"/>
    <n v="55405465"/>
    <n v="99177390"/>
    <n v="77035665.000000015"/>
    <n v="0"/>
    <n v="160341165"/>
    <x v="0"/>
    <n v="9600"/>
    <n v="0"/>
    <n v="0"/>
    <n v="0"/>
  </r>
  <r>
    <n v="1046"/>
    <x v="6"/>
    <s v="P9299227"/>
    <s v="09897 GAR CLR NAT EX 3 SCH BOX"/>
    <x v="3"/>
    <n v="15800"/>
    <n v="3047.6666666667002"/>
    <n v="4926"/>
    <n v="3059.6666666666665"/>
    <n v="8200"/>
    <n v="0"/>
    <n v="4320"/>
    <n v="0"/>
    <n v="4320"/>
    <n v="0"/>
    <n v="96"/>
    <n v="90"/>
    <n v="8200"/>
    <n v="80.400915132367373"/>
    <n v="1585"/>
    <n v="0"/>
    <n v="1585"/>
    <n v="1600"/>
    <n v="90.147074844754329"/>
    <n v="25280000"/>
    <n v="48153133.333333865"/>
    <n v="77830800"/>
    <n v="48342733.333333328"/>
    <n v="68256000"/>
    <n v="129560000"/>
    <n v="14615"/>
    <n v="23384000"/>
    <n v="44541648.33333382"/>
    <n v="71993490"/>
    <n v="44717028.333333328"/>
    <n v="63136800"/>
    <n v="119843000"/>
    <x v="0"/>
    <n v="1600"/>
    <n v="0"/>
    <n v="0"/>
    <n v="0"/>
  </r>
  <r>
    <n v="1047"/>
    <x v="6"/>
    <s v="P9299228"/>
    <s v="11715 GAR CLR NAT EX 3.16 SCH BOX"/>
    <x v="2"/>
    <n v="15800"/>
    <n v="1139"/>
    <n v="1823"/>
    <n v="1151.6666666666665"/>
    <n v="8298"/>
    <n v="0"/>
    <n v="0"/>
    <n v="0"/>
    <n v="0"/>
    <n v="0"/>
    <n v="96"/>
    <n v="90"/>
    <n v="8298"/>
    <n v="216.1562952243126"/>
    <n v="0"/>
    <n v="0"/>
    <n v="0"/>
    <n v="0"/>
    <n v="168.6685962373372"/>
    <n v="0"/>
    <n v="17996200"/>
    <n v="28803400"/>
    <n v="18196333.333333332"/>
    <n v="0"/>
    <n v="131108400"/>
    <n v="14615"/>
    <n v="0"/>
    <n v="16646485"/>
    <n v="26643145"/>
    <n v="16831608.333333332"/>
    <n v="0"/>
    <n v="121275270"/>
    <x v="0"/>
    <n v="0"/>
    <n v="0"/>
    <n v="0"/>
    <n v="0"/>
  </r>
  <r>
    <n v="1048"/>
    <x v="6"/>
    <s v="P9299229"/>
    <s v="30113 GAR CLR NAT EX 4 SCH BOX"/>
    <x v="3"/>
    <n v="15800"/>
    <n v="2546"/>
    <n v="2998"/>
    <n v="1659.3333333333335"/>
    <n v="9619"/>
    <n v="0"/>
    <n v="0"/>
    <n v="0"/>
    <n v="0"/>
    <n v="0"/>
    <n v="96"/>
    <n v="90"/>
    <n v="9619"/>
    <n v="173.90719164323019"/>
    <n v="0"/>
    <n v="0"/>
    <n v="0"/>
    <n v="0"/>
    <n v="119.70470068300521"/>
    <n v="0"/>
    <n v="40226800"/>
    <n v="47368400"/>
    <n v="26217466.666666668"/>
    <n v="0"/>
    <n v="151980200"/>
    <n v="14615"/>
    <n v="0"/>
    <n v="37209790"/>
    <n v="43815770"/>
    <n v="24251156.666666668"/>
    <n v="0"/>
    <n v="140581685"/>
    <x v="0"/>
    <n v="0"/>
    <n v="0"/>
    <n v="0"/>
    <n v="0"/>
  </r>
  <r>
    <n v="1049"/>
    <x v="6"/>
    <s v="P9299230"/>
    <s v="39567 GAR CLR NAT GLDN BRWN 7.3BOX"/>
    <x v="3"/>
    <n v="15800"/>
    <n v="7381"/>
    <n v="12024"/>
    <n v="9699.0000000000018"/>
    <n v="16624"/>
    <n v="0"/>
    <n v="0"/>
    <n v="0"/>
    <n v="0"/>
    <n v="0"/>
    <n v="96"/>
    <n v="90"/>
    <n v="16624"/>
    <n v="51.419733993195166"/>
    <n v="24497.000000000007"/>
    <n v="0"/>
    <n v="24497.000000000007"/>
    <n v="19200"/>
    <n v="73.615836684194235"/>
    <n v="303360000"/>
    <n v="116619800"/>
    <n v="189979200"/>
    <n v="153244200.00000003"/>
    <n v="0"/>
    <n v="262659200"/>
    <n v="14615"/>
    <n v="280608000"/>
    <n v="107873315"/>
    <n v="175730760"/>
    <n v="141750885.00000003"/>
    <n v="0"/>
    <n v="242959760"/>
    <x v="0"/>
    <n v="19200"/>
    <n v="0"/>
    <n v="0"/>
    <n v="0"/>
  </r>
  <r>
    <n v="1050"/>
    <x v="6"/>
    <s v="P9299231"/>
    <s v="39468 GAR CLR NAT MIDN BLU 3.1 BOX"/>
    <x v="2"/>
    <n v="15800"/>
    <n v="837"/>
    <n v="788"/>
    <n v="636.66666666666652"/>
    <n v="8227"/>
    <n v="0"/>
    <n v="0"/>
    <n v="0"/>
    <n v="0"/>
    <n v="0"/>
    <n v="96"/>
    <n v="90"/>
    <n v="8227"/>
    <n v="387.65968586387442"/>
    <n v="0"/>
    <n v="0"/>
    <n v="0"/>
    <n v="0"/>
    <n v="350.52879581151842"/>
    <n v="0"/>
    <n v="13224600"/>
    <n v="12450400"/>
    <n v="10059333.33333333"/>
    <n v="0"/>
    <n v="129986600"/>
    <n v="14615"/>
    <n v="0"/>
    <n v="12232755"/>
    <n v="11516620"/>
    <n v="9304883.3333333302"/>
    <n v="0"/>
    <n v="120237605"/>
    <x v="0"/>
    <n v="0"/>
    <n v="0"/>
    <n v="0"/>
    <n v="0"/>
  </r>
  <r>
    <n v="1051"/>
    <x v="6"/>
    <s v="P9299232"/>
    <s v="98342 GAR CLR NAT PASTELS ASH SRP"/>
    <x v="3"/>
    <n v="15800"/>
    <n v="8666.3333333332994"/>
    <n v="15284"/>
    <n v="9854"/>
    <n v="26990"/>
    <n v="0"/>
    <n v="0"/>
    <n v="0"/>
    <n v="0"/>
    <n v="0"/>
    <n v="96"/>
    <n v="90"/>
    <n v="26990"/>
    <n v="82.169677288410796"/>
    <n v="17856"/>
    <n v="0"/>
    <n v="17856"/>
    <n v="17280"/>
    <n v="88.24639740207023"/>
    <n v="273024000"/>
    <n v="136928066.66666612"/>
    <n v="241487200"/>
    <n v="155693200"/>
    <n v="0"/>
    <n v="426442000"/>
    <n v="14615"/>
    <n v="252547200"/>
    <n v="126658461.66666616"/>
    <n v="223375660"/>
    <n v="144016210"/>
    <n v="0"/>
    <n v="394458850"/>
    <x v="0"/>
    <n v="17280"/>
    <n v="0"/>
    <n v="0"/>
    <n v="0"/>
  </r>
  <r>
    <n v="1052"/>
    <x v="6"/>
    <s v="P9299233"/>
    <s v="98359 GAR CLR NAT PASTELS BLUE SRP"/>
    <x v="2"/>
    <n v="15800"/>
    <n v="4976.3333333333003"/>
    <n v="2848"/>
    <n v="2176"/>
    <n v="12152"/>
    <n v="0"/>
    <n v="0"/>
    <n v="0"/>
    <n v="0"/>
    <n v="0"/>
    <n v="96"/>
    <n v="90"/>
    <n v="12152"/>
    <n v="167.53676470588238"/>
    <n v="0"/>
    <n v="0"/>
    <n v="0"/>
    <n v="0"/>
    <n v="128.27205882352939"/>
    <n v="0"/>
    <n v="78626066.66666615"/>
    <n v="44998400"/>
    <n v="34380800"/>
    <n v="0"/>
    <n v="192001600"/>
    <n v="14615"/>
    <n v="0"/>
    <n v="72729111.66666618"/>
    <n v="41623520"/>
    <n v="31802240"/>
    <n v="0"/>
    <n v="177601480"/>
    <x v="0"/>
    <n v="0"/>
    <n v="0"/>
    <n v="0"/>
    <n v="0"/>
  </r>
  <r>
    <n v="1053"/>
    <x v="6"/>
    <s v="P9299234"/>
    <s v="98373 GAR CLR NAT PASTELS PINK SRP"/>
    <x v="2"/>
    <n v="15800"/>
    <n v="529.33333333332996"/>
    <n v="808"/>
    <n v="470.66666666666663"/>
    <n v="6456"/>
    <n v="0"/>
    <n v="0"/>
    <n v="0"/>
    <n v="0"/>
    <n v="0"/>
    <n v="96"/>
    <n v="90"/>
    <n v="6456"/>
    <n v="411.50141643059493"/>
    <n v="0"/>
    <n v="0"/>
    <n v="0"/>
    <n v="0"/>
    <n v="360.00000000000006"/>
    <n v="0"/>
    <n v="8363466.666666613"/>
    <n v="12766400"/>
    <n v="7436533.333333333"/>
    <n v="0"/>
    <n v="102004800"/>
    <n v="14615"/>
    <n v="0"/>
    <n v="7736206.6666666176"/>
    <n v="11808920"/>
    <n v="6878793.333333333"/>
    <n v="0"/>
    <n v="94354440"/>
    <x v="0"/>
    <n v="0"/>
    <n v="0"/>
    <n v="0"/>
    <n v="0"/>
  </r>
  <r>
    <n v="1054"/>
    <x v="6"/>
    <s v="P9299237"/>
    <s v="11576 LOR ELS EXTR OIL GOLD 100ML"/>
    <x v="3"/>
    <n v="132600"/>
    <n v="13"/>
    <n v="37"/>
    <n v="16.333333333333336"/>
    <n v="47"/>
    <n v="0"/>
    <n v="0"/>
    <n v="0"/>
    <n v="0"/>
    <n v="12"/>
    <n v="12"/>
    <n v="90"/>
    <n v="47"/>
    <n v="86.326530612244881"/>
    <n v="39"/>
    <n v="12"/>
    <n v="39"/>
    <n v="24"/>
    <n v="62.448979591836725"/>
    <n v="3182400"/>
    <n v="1723800"/>
    <n v="4906200"/>
    <n v="2165800.0000000005"/>
    <n v="0"/>
    <n v="6232200"/>
    <n v="122655"/>
    <n v="2943720"/>
    <n v="1594515"/>
    <n v="4538235"/>
    <n v="2003365.0000000002"/>
    <n v="0"/>
    <n v="5764785"/>
    <x v="0"/>
    <n v="12"/>
    <n v="0"/>
    <n v="0"/>
    <n v="0"/>
  </r>
  <r>
    <n v="1055"/>
    <x v="6"/>
    <s v="P9299238"/>
    <s v="20834 LOR ELS FR MASK 200ML"/>
    <x v="2"/>
    <n v="79200"/>
    <n v="3"/>
    <n v="4"/>
    <n v="1.3333333333333333"/>
    <n v="51"/>
    <n v="0"/>
    <n v="0"/>
    <n v="0"/>
    <n v="0"/>
    <n v="0"/>
    <n v="12"/>
    <n v="90"/>
    <n v="51"/>
    <n v="1147.5"/>
    <n v="0"/>
    <n v="0"/>
    <n v="0"/>
    <n v="0"/>
    <n v="1057.5"/>
    <n v="0"/>
    <n v="237600"/>
    <n v="316800"/>
    <n v="105600"/>
    <n v="0"/>
    <n v="4039200"/>
    <n v="73260"/>
    <n v="0"/>
    <n v="219780"/>
    <n v="293040"/>
    <n v="97680"/>
    <n v="0"/>
    <n v="3736260"/>
    <x v="0"/>
    <n v="0"/>
    <n v="0"/>
    <n v="0"/>
    <n v="0"/>
  </r>
  <r>
    <n v="1056"/>
    <x v="6"/>
    <s v="P9299243"/>
    <s v="38108 LOR ELS TR5 MASK 200ML"/>
    <x v="2"/>
    <n v="79200"/>
    <n v="5"/>
    <n v="6"/>
    <n v="3"/>
    <n v="76"/>
    <n v="0"/>
    <n v="0"/>
    <n v="0"/>
    <n v="0"/>
    <n v="0"/>
    <n v="12"/>
    <n v="90"/>
    <n v="76"/>
    <n v="760"/>
    <n v="0"/>
    <n v="0"/>
    <n v="0"/>
    <n v="0"/>
    <n v="700"/>
    <n v="0"/>
    <n v="396000"/>
    <n v="475200"/>
    <n v="237600"/>
    <n v="0"/>
    <n v="6019200"/>
    <n v="73260"/>
    <n v="0"/>
    <n v="366300"/>
    <n v="439560"/>
    <n v="219780"/>
    <n v="0"/>
    <n v="5567760"/>
    <x v="0"/>
    <n v="0"/>
    <n v="0"/>
    <n v="0"/>
    <n v="0"/>
  </r>
  <r>
    <n v="1057"/>
    <x v="6"/>
    <s v="P9299246"/>
    <s v="24368 LOR ELS TR5 SHP 450ML"/>
    <x v="2"/>
    <n v="75700"/>
    <n v="0"/>
    <n v="0"/>
    <n v="0"/>
    <n v="36"/>
    <n v="0"/>
    <n v="0"/>
    <n v="0"/>
    <n v="0"/>
    <n v="0"/>
    <n v="12"/>
    <n v="90"/>
    <n v="36"/>
    <n v="9999"/>
    <n v="0"/>
    <n v="0"/>
    <n v="0"/>
    <n v="0"/>
    <n v="9999"/>
    <n v="0"/>
    <n v="0"/>
    <n v="0"/>
    <n v="0"/>
    <n v="0"/>
    <n v="2725200"/>
    <n v="70023"/>
    <n v="0"/>
    <n v="0"/>
    <n v="0"/>
    <n v="0"/>
    <n v="0"/>
    <n v="2520828"/>
    <x v="0"/>
    <n v="0"/>
    <n v="0"/>
    <n v="0"/>
    <n v="0"/>
  </r>
  <r>
    <n v="1058"/>
    <x v="6"/>
    <s v="P9299247"/>
    <s v="00154 LOR EXC CREME-#1 NAT BLACK"/>
    <x v="1"/>
    <n v="122500"/>
    <n v="10.666666666666631"/>
    <n v="10"/>
    <n v="12.666666666666666"/>
    <n v="39"/>
    <n v="0"/>
    <n v="0"/>
    <n v="0"/>
    <n v="0"/>
    <n v="12"/>
    <n v="12"/>
    <n v="90"/>
    <n v="39"/>
    <n v="92.368421052631575"/>
    <n v="9"/>
    <n v="12"/>
    <n v="12"/>
    <n v="0"/>
    <n v="68.684210526315795"/>
    <n v="0"/>
    <n v="1306666.6666666623"/>
    <n v="1225000"/>
    <n v="1551666.6666666665"/>
    <n v="0"/>
    <n v="4777500"/>
    <n v="113313"/>
    <n v="0"/>
    <n v="1208671.9999999958"/>
    <n v="1133130"/>
    <n v="1435298"/>
    <n v="0"/>
    <n v="4419207"/>
    <x v="0"/>
    <n v="-12"/>
    <n v="0"/>
    <n v="0"/>
    <n v="0"/>
  </r>
  <r>
    <n v="1059"/>
    <x v="6"/>
    <s v="P9299248"/>
    <s v="00178 LOR EXC CRM-#3 N DARK BROWN"/>
    <x v="1"/>
    <n v="122500"/>
    <n v="4"/>
    <n v="0"/>
    <n v="4"/>
    <n v="23"/>
    <n v="0"/>
    <n v="0"/>
    <n v="0"/>
    <n v="0"/>
    <n v="0"/>
    <n v="12"/>
    <n v="90"/>
    <n v="23"/>
    <n v="172.5"/>
    <n v="0"/>
    <n v="0"/>
    <n v="0"/>
    <n v="0"/>
    <n v="172.5"/>
    <n v="0"/>
    <n v="490000"/>
    <n v="0"/>
    <n v="490000"/>
    <n v="0"/>
    <n v="2817500"/>
    <n v="113313"/>
    <n v="0"/>
    <n v="453252"/>
    <n v="0"/>
    <n v="453252"/>
    <n v="0"/>
    <n v="2606199"/>
    <x v="0"/>
    <n v="0"/>
    <n v="0"/>
    <n v="0"/>
    <n v="0"/>
  </r>
  <r>
    <n v="1060"/>
    <x v="6"/>
    <s v="P9299249"/>
    <s v="00215 LOR EXC CREME-#4 NAT BROWN"/>
    <x v="1"/>
    <n v="122500"/>
    <n v="8"/>
    <n v="0"/>
    <n v="4"/>
    <n v="15"/>
    <n v="0"/>
    <n v="0"/>
    <n v="0"/>
    <n v="0"/>
    <n v="12"/>
    <n v="12"/>
    <n v="90"/>
    <n v="15"/>
    <n v="112.5"/>
    <n v="0"/>
    <n v="12"/>
    <n v="0"/>
    <n v="0"/>
    <n v="112.5"/>
    <n v="0"/>
    <n v="980000"/>
    <n v="0"/>
    <n v="490000"/>
    <n v="0"/>
    <n v="1837500"/>
    <n v="113313"/>
    <n v="0"/>
    <n v="906504"/>
    <n v="0"/>
    <n v="453252"/>
    <n v="0"/>
    <n v="1699695"/>
    <x v="0"/>
    <n v="-12"/>
    <n v="0"/>
    <n v="0"/>
    <n v="0"/>
  </r>
  <r>
    <n v="1061"/>
    <x v="6"/>
    <s v="P9299256"/>
    <s v="39614 GAR MEN AC FIGHT WASABI 100ML"/>
    <x v="3"/>
    <n v="29900"/>
    <n v="66.666666666666998"/>
    <n v="105"/>
    <n v="51.666666666666664"/>
    <n v="1370"/>
    <n v="0"/>
    <n v="0"/>
    <n v="0"/>
    <n v="0"/>
    <n v="0"/>
    <n v="12"/>
    <n v="90"/>
    <n v="1370"/>
    <n v="795.48387096774195"/>
    <n v="0"/>
    <n v="0"/>
    <n v="0"/>
    <n v="0"/>
    <n v="734.51612903225805"/>
    <n v="0"/>
    <n v="1993333.3333333433"/>
    <n v="3139500"/>
    <n v="1544833.3333333333"/>
    <n v="0"/>
    <n v="40963000"/>
    <n v="27658"/>
    <n v="0"/>
    <n v="1843866.6666666758"/>
    <n v="2904090"/>
    <n v="1428996.6666666665"/>
    <n v="0"/>
    <n v="37891460"/>
    <x v="0"/>
    <n v="0"/>
    <n v="0"/>
    <n v="0"/>
    <n v="0"/>
  </r>
  <r>
    <n v="1062"/>
    <x v="6"/>
    <s v="P9299257"/>
    <s v="39607 GAR MEN AC FIGHT WASABI 50ML"/>
    <x v="3"/>
    <n v="21100"/>
    <n v="6.3333333333333002"/>
    <n v="13"/>
    <n v="7.666666666666667"/>
    <n v="136"/>
    <n v="0"/>
    <n v="0"/>
    <n v="0"/>
    <n v="0"/>
    <n v="0"/>
    <n v="24"/>
    <n v="90"/>
    <n v="136"/>
    <n v="532.17391304347825"/>
    <n v="0"/>
    <n v="0"/>
    <n v="0"/>
    <n v="0"/>
    <n v="481.304347826087"/>
    <n v="0"/>
    <n v="133633.33333333264"/>
    <n v="274300"/>
    <n v="161766.66666666669"/>
    <n v="0"/>
    <n v="2869600"/>
    <n v="19518"/>
    <n v="0"/>
    <n v="123613.99999999936"/>
    <n v="253734"/>
    <n v="149638"/>
    <n v="0"/>
    <n v="2654448"/>
    <x v="0"/>
    <n v="0"/>
    <n v="0"/>
    <n v="0"/>
    <n v="0"/>
  </r>
  <r>
    <n v="1063"/>
    <x v="6"/>
    <s v="P9299258"/>
    <s v="47435 GAR MEN POWER WHT SDUO 100ML"/>
    <x v="3"/>
    <n v="29900"/>
    <n v="36.333333333333002"/>
    <n v="72"/>
    <n v="51.666666666666664"/>
    <n v="1271"/>
    <n v="0"/>
    <n v="0"/>
    <n v="0"/>
    <n v="0"/>
    <n v="0"/>
    <n v="12"/>
    <n v="90"/>
    <n v="1271"/>
    <n v="738"/>
    <n v="0"/>
    <n v="0"/>
    <n v="0"/>
    <n v="0"/>
    <n v="696.19354838709683"/>
    <n v="0"/>
    <n v="1086366.6666666567"/>
    <n v="2152800"/>
    <n v="1544833.3333333333"/>
    <n v="0"/>
    <n v="38002900"/>
    <n v="27658"/>
    <n v="0"/>
    <n v="1004907.3333333242"/>
    <n v="1991376"/>
    <n v="1428996.6666666665"/>
    <n v="0"/>
    <n v="35153318"/>
    <x v="0"/>
    <n v="0"/>
    <n v="0"/>
    <n v="0"/>
    <n v="0"/>
  </r>
  <r>
    <n v="1064"/>
    <x v="6"/>
    <s v="P9299259"/>
    <s v="47411 GAR MEN POWER WHT SDUO 50ML"/>
    <x v="3"/>
    <n v="21100"/>
    <n v="12"/>
    <n v="11"/>
    <n v="6.6666666666666661"/>
    <n v="80"/>
    <n v="0"/>
    <n v="0"/>
    <n v="0"/>
    <n v="0"/>
    <n v="0"/>
    <n v="12"/>
    <n v="90"/>
    <n v="80"/>
    <n v="360.00000000000006"/>
    <n v="0"/>
    <n v="0"/>
    <n v="0"/>
    <n v="0"/>
    <n v="310.50000000000006"/>
    <n v="0"/>
    <n v="253200"/>
    <n v="232100"/>
    <n v="140666.66666666666"/>
    <n v="0"/>
    <n v="1688000"/>
    <n v="19518"/>
    <n v="0"/>
    <n v="234216"/>
    <n v="214698"/>
    <n v="130119.99999999999"/>
    <n v="0"/>
    <n v="1561440"/>
    <x v="0"/>
    <n v="0"/>
    <n v="0"/>
    <n v="0"/>
    <n v="0"/>
  </r>
  <r>
    <n v="1065"/>
    <x v="6"/>
    <s v="P9299260"/>
    <s v="09143 GAR MEN TL OIL CTRL FM 50ML"/>
    <x v="3"/>
    <n v="21100"/>
    <n v="15"/>
    <n v="20"/>
    <n v="15"/>
    <n v="41"/>
    <n v="0"/>
    <n v="0"/>
    <n v="0"/>
    <n v="0"/>
    <n v="0"/>
    <n v="24"/>
    <n v="90"/>
    <n v="41"/>
    <n v="82"/>
    <n v="24"/>
    <n v="0"/>
    <n v="24"/>
    <n v="0"/>
    <n v="42"/>
    <n v="0"/>
    <n v="316500"/>
    <n v="422000"/>
    <n v="316500"/>
    <n v="0"/>
    <n v="865100"/>
    <n v="19518"/>
    <n v="0"/>
    <n v="292770"/>
    <n v="390360"/>
    <n v="292770"/>
    <n v="0"/>
    <n v="800238"/>
    <x v="0"/>
    <n v="0"/>
    <n v="0"/>
    <n v="0"/>
    <n v="0"/>
  </r>
  <r>
    <n v="1066"/>
    <x v="6"/>
    <s v="P9299261"/>
    <s v="09204 GAR MEN TL OIL CT SCRUB 100ML"/>
    <x v="3"/>
    <n v="29900"/>
    <n v="27"/>
    <n v="69"/>
    <n v="38"/>
    <n v="39"/>
    <n v="0"/>
    <n v="0"/>
    <n v="0"/>
    <n v="0"/>
    <n v="12"/>
    <n v="12"/>
    <n v="90"/>
    <n v="39"/>
    <n v="30.789473684210527"/>
    <n v="144"/>
    <n v="12"/>
    <n v="144"/>
    <n v="144"/>
    <n v="90"/>
    <n v="4305600"/>
    <n v="807300"/>
    <n v="2063100"/>
    <n v="1136200"/>
    <n v="0"/>
    <n v="1166100"/>
    <n v="27658"/>
    <n v="3982752"/>
    <n v="746766"/>
    <n v="1908402"/>
    <n v="1051004"/>
    <n v="0"/>
    <n v="1078662"/>
    <x v="0"/>
    <n v="132"/>
    <n v="0"/>
    <n v="0"/>
    <n v="0"/>
  </r>
  <r>
    <n v="1067"/>
    <x v="6"/>
    <s v="P9299263"/>
    <s v="00029 GAR BRIGHT COMP FOAM 100ML EB"/>
    <x v="3"/>
    <n v="28300"/>
    <n v="225"/>
    <n v="269"/>
    <n v="234"/>
    <n v="31"/>
    <n v="0"/>
    <n v="3900"/>
    <n v="0"/>
    <n v="3900"/>
    <n v="0"/>
    <n v="12"/>
    <n v="90"/>
    <n v="31"/>
    <n v="3.9743589743589745"/>
    <n v="0"/>
    <n v="0"/>
    <n v="0"/>
    <n v="0"/>
    <n v="469.48717948717945"/>
    <n v="0"/>
    <n v="6367500"/>
    <n v="7612700"/>
    <n v="6622200"/>
    <n v="110370000"/>
    <n v="877300"/>
    <n v="26178"/>
    <n v="0"/>
    <n v="5890050"/>
    <n v="7041882"/>
    <n v="6125652"/>
    <n v="102094200"/>
    <n v="811518"/>
    <x v="0"/>
    <n v="0"/>
    <n v="0"/>
    <n v="0"/>
    <n v="0"/>
  </r>
  <r>
    <n v="1068"/>
    <x v="6"/>
    <s v="P9299264"/>
    <s v="10293 GAR BRIGHT 12HR CRM 20ML EB"/>
    <x v="3"/>
    <n v="23000"/>
    <n v="143.33333333332999"/>
    <n v="149"/>
    <n v="133"/>
    <n v="101"/>
    <n v="0"/>
    <n v="432"/>
    <n v="0"/>
    <n v="432"/>
    <n v="24"/>
    <n v="24"/>
    <n v="90"/>
    <n v="101"/>
    <n v="22.781954887218046"/>
    <n v="15"/>
    <n v="24"/>
    <n v="24"/>
    <n v="0"/>
    <n v="86.616541353383454"/>
    <n v="0"/>
    <n v="3296666.6666665897"/>
    <n v="3427000"/>
    <n v="3059000"/>
    <n v="9936000"/>
    <n v="2323000"/>
    <n v="21275"/>
    <n v="0"/>
    <n v="3049416.6666665957"/>
    <n v="3169975"/>
    <n v="2829575"/>
    <n v="9190800"/>
    <n v="2148775"/>
    <x v="0"/>
    <n v="-24"/>
    <n v="0"/>
    <n v="0"/>
    <n v="0"/>
  </r>
  <r>
    <n v="1069"/>
    <x v="6"/>
    <s v="P9299265"/>
    <s v="94774 GAR BRIGHT NIGHT YOGHURT 50ML"/>
    <x v="3"/>
    <n v="75000"/>
    <n v="24.666666666666998"/>
    <n v="29"/>
    <n v="28.666666666666668"/>
    <n v="5"/>
    <n v="0"/>
    <n v="48"/>
    <n v="0"/>
    <n v="48"/>
    <n v="0"/>
    <n v="12"/>
    <n v="90"/>
    <n v="5"/>
    <n v="5.2325581395348841"/>
    <n v="62"/>
    <n v="0"/>
    <n v="62"/>
    <n v="60"/>
    <n v="87.906976744186039"/>
    <n v="4500000"/>
    <n v="1850000.0000000249"/>
    <n v="2175000"/>
    <n v="2150000"/>
    <n v="3600000"/>
    <n v="375000"/>
    <n v="69375"/>
    <n v="4162500"/>
    <n v="1711250.0000000231"/>
    <n v="2011875"/>
    <n v="1988750"/>
    <n v="3330000"/>
    <n v="346875"/>
    <x v="0"/>
    <n v="60"/>
    <n v="0"/>
    <n v="0"/>
    <n v="0"/>
  </r>
  <r>
    <n v="1070"/>
    <x v="6"/>
    <s v="P9299267"/>
    <s v="47152 GAR SAKURA GLOW FOAM 100ML EB"/>
    <x v="3"/>
    <n v="28300"/>
    <n v="47"/>
    <n v="142"/>
    <n v="59.333333333333336"/>
    <n v="84"/>
    <n v="0"/>
    <n v="1080"/>
    <n v="0"/>
    <n v="1080"/>
    <n v="0"/>
    <n v="12"/>
    <n v="90"/>
    <n v="84"/>
    <n v="42.471910112359545"/>
    <n v="0"/>
    <n v="0"/>
    <n v="0"/>
    <n v="0"/>
    <n v="516.74157303370782"/>
    <n v="0"/>
    <n v="1330100"/>
    <n v="4018600"/>
    <n v="1679133.3333333335"/>
    <n v="30564000"/>
    <n v="2377200"/>
    <n v="26178"/>
    <n v="0"/>
    <n v="1230366"/>
    <n v="3717276"/>
    <n v="1553228"/>
    <n v="28272240"/>
    <n v="2198952"/>
    <x v="0"/>
    <n v="0"/>
    <n v="0"/>
    <n v="0"/>
    <n v="0"/>
  </r>
  <r>
    <n v="1071"/>
    <x v="6"/>
    <s v="P9299268"/>
    <s v="10721 GAR SAKURA GL BOOST SRM 30ML"/>
    <x v="2"/>
    <n v="114800"/>
    <n v="11"/>
    <n v="10"/>
    <n v="12.333333333333334"/>
    <n v="8"/>
    <n v="0"/>
    <n v="0"/>
    <n v="0"/>
    <n v="0"/>
    <n v="12"/>
    <n v="12"/>
    <n v="90"/>
    <n v="8"/>
    <n v="19.459459459459456"/>
    <n v="39"/>
    <n v="12"/>
    <n v="39"/>
    <n v="36"/>
    <n v="82.702702702702695"/>
    <n v="4132800"/>
    <n v="1262800"/>
    <n v="1148000"/>
    <n v="1415866.6666666667"/>
    <n v="0"/>
    <n v="918400"/>
    <n v="106190"/>
    <n v="3822840"/>
    <n v="1168090"/>
    <n v="1061900"/>
    <n v="1309676.6666666667"/>
    <n v="0"/>
    <n v="849520"/>
    <x v="0"/>
    <n v="24"/>
    <n v="0"/>
    <n v="0"/>
    <n v="0"/>
  </r>
  <r>
    <n v="1072"/>
    <x v="6"/>
    <s v="P9299269"/>
    <s v="02429 GAR BRIGHT SPF36 YUZU 20ML"/>
    <x v="3"/>
    <n v="29100"/>
    <n v="79.333333333333002"/>
    <n v="129"/>
    <n v="95.333333333333343"/>
    <n v="104"/>
    <n v="0"/>
    <n v="0"/>
    <n v="0"/>
    <n v="0"/>
    <n v="24"/>
    <n v="24"/>
    <n v="90"/>
    <n v="104"/>
    <n v="32.727272727272727"/>
    <n v="311"/>
    <n v="24"/>
    <n v="311"/>
    <n v="312"/>
    <n v="90.314685314685306"/>
    <n v="9079200"/>
    <n v="2308599.9999999902"/>
    <n v="3753900"/>
    <n v="2774200.0000000005"/>
    <n v="0"/>
    <n v="3026400"/>
    <n v="26918"/>
    <n v="8398416"/>
    <n v="2135494.6666666577"/>
    <n v="3472422"/>
    <n v="2566182.666666667"/>
    <n v="0"/>
    <n v="2799472"/>
    <x v="0"/>
    <n v="288"/>
    <n v="0"/>
    <n v="0"/>
    <n v="0"/>
  </r>
  <r>
    <n v="1073"/>
    <x v="6"/>
    <s v="P9299270"/>
    <s v="61139 GAR CL MICELLAR BIPHASE-125ML"/>
    <x v="3"/>
    <n v="29800"/>
    <n v="32.333333333333002"/>
    <n v="206"/>
    <n v="80"/>
    <n v="96"/>
    <n v="0"/>
    <n v="0"/>
    <n v="0"/>
    <n v="0"/>
    <n v="0"/>
    <n v="24"/>
    <n v="90"/>
    <n v="96"/>
    <n v="36"/>
    <n v="350"/>
    <n v="0"/>
    <n v="350"/>
    <n v="336"/>
    <n v="84.75"/>
    <n v="10012800"/>
    <n v="963533.33333332348"/>
    <n v="6138800"/>
    <n v="2384000"/>
    <n v="0"/>
    <n v="2860800"/>
    <n v="27565"/>
    <n v="9261840"/>
    <n v="891268.33333332418"/>
    <n v="5678390"/>
    <n v="2205200"/>
    <n v="0"/>
    <n v="2646240"/>
    <x v="0"/>
    <n v="336"/>
    <n v="0"/>
    <n v="0"/>
    <n v="0"/>
  </r>
  <r>
    <n v="1074"/>
    <x v="6"/>
    <s v="P9299271"/>
    <s v="29589 GAR CL MICELLAR WTR 400ML-PNK"/>
    <x v="3"/>
    <n v="87300"/>
    <n v="11.666666666667"/>
    <n v="38"/>
    <n v="12.666666666666668"/>
    <n v="1"/>
    <n v="0"/>
    <n v="0"/>
    <n v="0"/>
    <n v="0"/>
    <n v="0"/>
    <n v="6"/>
    <n v="90"/>
    <n v="1"/>
    <n v="2.3684210526315788"/>
    <n v="75"/>
    <n v="0"/>
    <n v="75"/>
    <n v="72"/>
    <n v="82.89473684210526"/>
    <n v="6285600"/>
    <n v="1018500.0000000291"/>
    <n v="3317400"/>
    <n v="1105800"/>
    <n v="0"/>
    <n v="87300"/>
    <n v="80753"/>
    <n v="5814216"/>
    <n v="942118.33333336026"/>
    <n v="3068614"/>
    <n v="1022871.3333333334"/>
    <n v="0"/>
    <n v="80753"/>
    <x v="0"/>
    <n v="72"/>
    <n v="0"/>
    <n v="0"/>
    <n v="0"/>
  </r>
  <r>
    <n v="1075"/>
    <x v="6"/>
    <s v="P9299272"/>
    <s v="14451 GAR BRIGHT WSPEED SPT SC 7ML"/>
    <x v="3"/>
    <n v="5000"/>
    <n v="320"/>
    <n v="758"/>
    <n v="496.66666666666669"/>
    <n v="47"/>
    <n v="0"/>
    <n v="300"/>
    <n v="0"/>
    <n v="300"/>
    <n v="300"/>
    <n v="300"/>
    <n v="90"/>
    <n v="47"/>
    <n v="2.8389261744966441"/>
    <n v="1901"/>
    <n v="300"/>
    <n v="1901"/>
    <n v="1800"/>
    <n v="83.89932885906039"/>
    <n v="9000000"/>
    <n v="1600000"/>
    <n v="3790000"/>
    <n v="2483333.3333333335"/>
    <n v="1500000"/>
    <n v="235000"/>
    <n v="4625"/>
    <n v="8325000"/>
    <n v="1480000"/>
    <n v="3505750"/>
    <n v="2297083.3333333335"/>
    <n v="1387500"/>
    <n v="217375"/>
    <x v="0"/>
    <n v="1500"/>
    <n v="0"/>
    <n v="0"/>
    <n v="0"/>
  </r>
  <r>
    <n v="1076"/>
    <x v="6"/>
    <s v="P9299273"/>
    <s v="49743 GAR SAKURA TALC UV SPT 7ML 3L"/>
    <x v="2"/>
    <n v="5000"/>
    <n v="836"/>
    <n v="644"/>
    <n v="698.66666666666663"/>
    <n v="1751"/>
    <n v="0"/>
    <n v="0"/>
    <n v="0"/>
    <n v="0"/>
    <n v="0"/>
    <n v="300"/>
    <n v="90"/>
    <n v="1751"/>
    <n v="75.186068702290072"/>
    <n v="989"/>
    <n v="0"/>
    <n v="989"/>
    <n v="900"/>
    <n v="86.178435114503827"/>
    <n v="4500000"/>
    <n v="4180000"/>
    <n v="3220000"/>
    <n v="3493333.333333333"/>
    <n v="0"/>
    <n v="8755000"/>
    <n v="4625"/>
    <n v="4162500"/>
    <n v="3866500"/>
    <n v="2978500"/>
    <n v="3231333.333333333"/>
    <n v="0"/>
    <n v="8098375"/>
    <x v="0"/>
    <n v="900"/>
    <n v="0"/>
    <n v="0"/>
    <n v="0"/>
  </r>
  <r>
    <n v="1077"/>
    <x v="6"/>
    <s v="P9299275"/>
    <s v="46933 GAR SAKURA GL NIGHT CRM 50ML"/>
    <x v="3"/>
    <n v="75000"/>
    <n v="10"/>
    <n v="20"/>
    <n v="6.6666666666666661"/>
    <n v="63"/>
    <n v="0"/>
    <n v="0"/>
    <n v="0"/>
    <n v="0"/>
    <n v="0"/>
    <n v="12"/>
    <n v="90"/>
    <n v="63"/>
    <n v="283.50000000000006"/>
    <n v="0"/>
    <n v="0"/>
    <n v="0"/>
    <n v="0"/>
    <n v="193.5"/>
    <n v="0"/>
    <n v="750000"/>
    <n v="1500000"/>
    <n v="499999.99999999994"/>
    <n v="0"/>
    <n v="4725000"/>
    <n v="69375"/>
    <n v="0"/>
    <n v="693750"/>
    <n v="1387500"/>
    <n v="462499.99999999994"/>
    <n v="0"/>
    <n v="4370625"/>
    <x v="0"/>
    <n v="0"/>
    <n v="0"/>
    <n v="0"/>
    <n v="0"/>
  </r>
  <r>
    <n v="1078"/>
    <x v="6"/>
    <s v="P9299276"/>
    <s v="09022 GAR BRIGHT CP WHIP FOAM 50ML"/>
    <x v="2"/>
    <n v="22900"/>
    <n v="21"/>
    <n v="37"/>
    <n v="24.333333333333332"/>
    <n v="172"/>
    <n v="0"/>
    <n v="0"/>
    <n v="0"/>
    <n v="0"/>
    <n v="0"/>
    <n v="24"/>
    <n v="90"/>
    <n v="172"/>
    <n v="212.05479452054797"/>
    <n v="0"/>
    <n v="0"/>
    <n v="0"/>
    <n v="0"/>
    <n v="166.43835616438358"/>
    <n v="0"/>
    <n v="480900"/>
    <n v="847300"/>
    <n v="557233.33333333326"/>
    <n v="0"/>
    <n v="3938800"/>
    <n v="21183"/>
    <n v="0"/>
    <n v="444843"/>
    <n v="783771"/>
    <n v="515453"/>
    <n v="0"/>
    <n v="3643476"/>
    <x v="0"/>
    <n v="0"/>
    <n v="0"/>
    <n v="0"/>
    <n v="0"/>
  </r>
  <r>
    <n v="1079"/>
    <x v="6"/>
    <s v="P9299278"/>
    <s v="02672 GAR BRIGHT NIGHT YOGHURT 7ML"/>
    <x v="1"/>
    <n v="5000"/>
    <n v="52"/>
    <n v="80"/>
    <n v="50.666666666666664"/>
    <n v="3716"/>
    <n v="0"/>
    <n v="0"/>
    <n v="0"/>
    <n v="0"/>
    <n v="0"/>
    <n v="300"/>
    <n v="90"/>
    <n v="3716"/>
    <n v="2200.2631578947371"/>
    <n v="0"/>
    <n v="0"/>
    <n v="0"/>
    <n v="0"/>
    <n v="2152.8947368421054"/>
    <n v="0"/>
    <n v="260000"/>
    <n v="400000"/>
    <n v="253333.33333333331"/>
    <n v="0"/>
    <n v="18580000"/>
    <n v="4625"/>
    <n v="0"/>
    <n v="240500"/>
    <n v="370000"/>
    <n v="234333.33333333331"/>
    <n v="0"/>
    <n v="17186500"/>
    <x v="0"/>
    <n v="0"/>
    <n v="0"/>
    <n v="0"/>
    <n v="0"/>
  </r>
  <r>
    <n v="1080"/>
    <x v="6"/>
    <s v="P9299280"/>
    <s v="47190 GAR SAKURA GL TL TCH UV 20ML"/>
    <x v="3"/>
    <n v="23000"/>
    <n v="104"/>
    <n v="102"/>
    <n v="67.333333333333329"/>
    <n v="116"/>
    <n v="0"/>
    <n v="216"/>
    <n v="0"/>
    <n v="216"/>
    <n v="0"/>
    <n v="24"/>
    <n v="90"/>
    <n v="116"/>
    <n v="51.68316831683169"/>
    <n v="0"/>
    <n v="0"/>
    <n v="0"/>
    <n v="0"/>
    <n v="102.47524752475249"/>
    <n v="0"/>
    <n v="2392000"/>
    <n v="2346000"/>
    <n v="1548666.6666666665"/>
    <n v="4968000"/>
    <n v="2668000"/>
    <n v="21275"/>
    <n v="0"/>
    <n v="2212600"/>
    <n v="2170050"/>
    <n v="1432516.6666666665"/>
    <n v="4595400"/>
    <n v="2467900"/>
    <x v="0"/>
    <n v="0"/>
    <n v="0"/>
    <n v="0"/>
    <n v="0"/>
  </r>
  <r>
    <n v="1081"/>
    <x v="6"/>
    <s v="P9299281"/>
    <s v="18284 GAR BRIGHT ANTIANC SERUM 15ML"/>
    <x v="1"/>
    <n v="68900"/>
    <n v="2"/>
    <n v="0"/>
    <n v="2"/>
    <n v="1"/>
    <n v="0"/>
    <n v="0"/>
    <n v="0"/>
    <n v="0"/>
    <n v="0"/>
    <n v="24"/>
    <n v="90"/>
    <n v="1"/>
    <n v="15"/>
    <n v="5"/>
    <n v="0"/>
    <n v="0"/>
    <n v="0"/>
    <n v="15"/>
    <n v="0"/>
    <n v="137800"/>
    <n v="0"/>
    <n v="137800"/>
    <n v="0"/>
    <n v="68900"/>
    <n v="63733"/>
    <n v="0"/>
    <n v="127466"/>
    <n v="0"/>
    <n v="127466"/>
    <n v="0"/>
    <n v="63733"/>
    <x v="0"/>
    <n v="0"/>
    <n v="0"/>
    <n v="0"/>
    <n v="0"/>
  </r>
  <r>
    <n v="1082"/>
    <x v="6"/>
    <s v="P9299283"/>
    <s v="29572 GAR CL MICELLAR WTR 125ML-PNK"/>
    <x v="2"/>
    <n v="24200"/>
    <n v="170.33333333332999"/>
    <n v="631"/>
    <n v="348.66666666666669"/>
    <n v="1132"/>
    <n v="0"/>
    <n v="0"/>
    <n v="0"/>
    <n v="0"/>
    <n v="0"/>
    <n v="24"/>
    <n v="90"/>
    <n v="1132"/>
    <n v="97.399617590822174"/>
    <n v="545"/>
    <n v="0"/>
    <n v="545"/>
    <n v="480"/>
    <n v="84.407265774378587"/>
    <n v="11616000"/>
    <n v="4122066.666666586"/>
    <n v="15270200"/>
    <n v="8437733.333333334"/>
    <n v="0"/>
    <n v="27394400"/>
    <n v="22385"/>
    <n v="10744800"/>
    <n v="3812911.666666592"/>
    <n v="14124935"/>
    <n v="7804903.333333334"/>
    <n v="0"/>
    <n v="25339820"/>
    <x v="0"/>
    <n v="480"/>
    <n v="0"/>
    <n v="0"/>
    <n v="0"/>
  </r>
  <r>
    <n v="1083"/>
    <x v="6"/>
    <s v="P9299284"/>
    <s v="19656 GAR MCLR SALICYLIC BLUE 125ML"/>
    <x v="3"/>
    <n v="24200"/>
    <n v="173.66666666667001"/>
    <n v="388"/>
    <n v="166"/>
    <n v="564"/>
    <n v="0"/>
    <n v="0"/>
    <n v="0"/>
    <n v="0"/>
    <n v="0"/>
    <n v="24"/>
    <n v="90"/>
    <n v="564"/>
    <n v="101.92771084337349"/>
    <n v="322"/>
    <n v="0"/>
    <n v="322"/>
    <n v="312"/>
    <n v="88.192771084337352"/>
    <n v="7550400"/>
    <n v="4202733.333333414"/>
    <n v="9389600"/>
    <n v="4017200"/>
    <n v="0"/>
    <n v="13648800"/>
    <n v="22385"/>
    <n v="6984120"/>
    <n v="3887528.333333408"/>
    <n v="8685380"/>
    <n v="3715910"/>
    <n v="0"/>
    <n v="12625140"/>
    <x v="0"/>
    <n v="312"/>
    <n v="0"/>
    <n v="0"/>
    <n v="0"/>
  </r>
  <r>
    <n v="1084"/>
    <x v="6"/>
    <s v="P9299287"/>
    <s v="33872 GAR SAKURA GLOW SPF30 50ML EB"/>
    <x v="3"/>
    <n v="69700"/>
    <n v="25.666666666666998"/>
    <n v="47"/>
    <n v="21.333333333333332"/>
    <n v="60"/>
    <n v="0"/>
    <n v="72"/>
    <n v="0"/>
    <n v="72"/>
    <n v="0"/>
    <n v="12"/>
    <n v="90"/>
    <n v="60"/>
    <n v="84.375"/>
    <n v="0"/>
    <n v="0"/>
    <n v="0"/>
    <n v="0"/>
    <n v="119.53125"/>
    <n v="0"/>
    <n v="1788966.6666666898"/>
    <n v="3275900"/>
    <n v="1486933.3333333333"/>
    <n v="5018400"/>
    <n v="4182000"/>
    <n v="64473"/>
    <n v="0"/>
    <n v="1654807.0000000214"/>
    <n v="3030231"/>
    <n v="1375424"/>
    <n v="4642056"/>
    <n v="3868380"/>
    <x v="0"/>
    <n v="0"/>
    <n v="0"/>
    <n v="0"/>
    <n v="0"/>
  </r>
  <r>
    <n v="1085"/>
    <x v="6"/>
    <s v="P9299288"/>
    <s v="47183 GAR SAKURA GL TL TCH UV 40ML"/>
    <x v="1"/>
    <n v="45900"/>
    <n v="0"/>
    <n v="0"/>
    <n v="0"/>
    <n v="181"/>
    <n v="0"/>
    <n v="0"/>
    <n v="0"/>
    <n v="0"/>
    <n v="0"/>
    <n v="12"/>
    <n v="90"/>
    <n v="181"/>
    <n v="9999"/>
    <n v="0"/>
    <n v="0"/>
    <n v="0"/>
    <n v="0"/>
    <n v="9999"/>
    <n v="0"/>
    <n v="0"/>
    <n v="0"/>
    <n v="0"/>
    <n v="0"/>
    <n v="8307900"/>
    <n v="42458"/>
    <n v="0"/>
    <n v="0"/>
    <n v="0"/>
    <n v="0"/>
    <n v="0"/>
    <n v="7684898"/>
    <x v="0"/>
    <n v="0"/>
    <n v="0"/>
    <n v="0"/>
    <n v="0"/>
  </r>
  <r>
    <n v="1086"/>
    <x v="6"/>
    <s v="P9299289"/>
    <s v="10316 GAR BRIGHT WHT SPEED SRM 40ML"/>
    <x v="2"/>
    <n v="45900"/>
    <n v="0"/>
    <n v="1"/>
    <n v="0.33333333333333331"/>
    <n v="45"/>
    <n v="0"/>
    <n v="0"/>
    <n v="0"/>
    <n v="0"/>
    <n v="0"/>
    <n v="12"/>
    <n v="90"/>
    <n v="45"/>
    <n v="4050"/>
    <n v="0"/>
    <n v="0"/>
    <n v="0"/>
    <n v="0"/>
    <n v="3960"/>
    <n v="0"/>
    <n v="0"/>
    <n v="45900"/>
    <n v="15300"/>
    <n v="0"/>
    <n v="2065500"/>
    <n v="42458"/>
    <n v="0"/>
    <n v="0"/>
    <n v="42458"/>
    <n v="14152.666666666666"/>
    <n v="0"/>
    <n v="1910610"/>
    <x v="0"/>
    <n v="0"/>
    <n v="0"/>
    <n v="0"/>
    <n v="0"/>
  </r>
  <r>
    <n v="1087"/>
    <x v="6"/>
    <s v="P9299290"/>
    <s v="14217 GAR MICELLAR ROSE 400ML"/>
    <x v="3"/>
    <n v="87300"/>
    <n v="17"/>
    <n v="31"/>
    <n v="11.333333333333332"/>
    <n v="105"/>
    <n v="0"/>
    <n v="0"/>
    <n v="0"/>
    <n v="0"/>
    <n v="0"/>
    <n v="6"/>
    <n v="90"/>
    <n v="105"/>
    <n v="277.94117647058829"/>
    <n v="0"/>
    <n v="0"/>
    <n v="0"/>
    <n v="0"/>
    <n v="195.88235294117649"/>
    <n v="0"/>
    <n v="1484100"/>
    <n v="2706300"/>
    <n v="989399.99999999988"/>
    <n v="0"/>
    <n v="9166500"/>
    <n v="80753"/>
    <n v="0"/>
    <n v="1372801"/>
    <n v="2503343"/>
    <n v="915200.66666666663"/>
    <n v="0"/>
    <n v="8479065"/>
    <x v="0"/>
    <n v="0"/>
    <n v="0"/>
    <n v="0"/>
    <n v="0"/>
  </r>
  <r>
    <n v="1088"/>
    <x v="6"/>
    <s v="P9299291"/>
    <s v="47169 GAR SAKURA GLOW FOAM 50ML EB"/>
    <x v="3"/>
    <n v="18000"/>
    <n v="119.33333333333"/>
    <n v="273"/>
    <n v="163.33333333333331"/>
    <n v="862"/>
    <n v="0"/>
    <n v="0"/>
    <n v="0"/>
    <n v="0"/>
    <n v="0"/>
    <n v="24"/>
    <n v="90"/>
    <n v="862"/>
    <n v="158.32653061224491"/>
    <n v="0"/>
    <n v="0"/>
    <n v="0"/>
    <n v="0"/>
    <n v="108.18367346938777"/>
    <n v="0"/>
    <n v="2147999.9999999399"/>
    <n v="4914000"/>
    <n v="2939999.9999999995"/>
    <n v="0"/>
    <n v="15516000"/>
    <n v="16650"/>
    <n v="0"/>
    <n v="1986899.9999999446"/>
    <n v="4545450"/>
    <n v="2719499.9999999995"/>
    <n v="0"/>
    <n v="14352300"/>
    <x v="0"/>
    <n v="0"/>
    <n v="0"/>
    <n v="0"/>
    <n v="0"/>
  </r>
  <r>
    <n v="1089"/>
    <x v="6"/>
    <s v="P9299292"/>
    <s v="18291 GAR BRIGHT ANTIANC SERUM 30ML"/>
    <x v="1"/>
    <n v="114900"/>
    <n v="0"/>
    <n v="0"/>
    <n v="0"/>
    <n v="0"/>
    <n v="0"/>
    <n v="0"/>
    <n v="0"/>
    <n v="0"/>
    <n v="0"/>
    <n v="12"/>
    <n v="90"/>
    <n v="0"/>
    <n v="0"/>
    <n v="0"/>
    <n v="0"/>
    <n v="0"/>
    <n v="0"/>
    <n v="0"/>
    <n v="0"/>
    <n v="0"/>
    <n v="0"/>
    <n v="0"/>
    <n v="0"/>
    <n v="0"/>
    <n v="106283"/>
    <n v="0"/>
    <n v="0"/>
    <n v="0"/>
    <n v="0"/>
    <n v="0"/>
    <n v="0"/>
    <x v="0"/>
    <n v="0"/>
    <n v="0"/>
    <n v="0"/>
    <n v="0"/>
  </r>
  <r>
    <n v="1090"/>
    <x v="6"/>
    <s v="P9299293"/>
    <s v="94767 GAR BRIGHT NIGHT CRM 20ML"/>
    <x v="3"/>
    <n v="29100"/>
    <n v="107"/>
    <n v="136"/>
    <n v="111.66666666666667"/>
    <n v="42"/>
    <n v="0"/>
    <n v="288"/>
    <n v="0"/>
    <n v="288"/>
    <n v="0"/>
    <n v="24"/>
    <n v="90"/>
    <n v="42"/>
    <n v="11.283582089552239"/>
    <n v="141"/>
    <n v="0"/>
    <n v="141"/>
    <n v="144"/>
    <n v="90.805970149253724"/>
    <n v="4190400"/>
    <n v="3113700"/>
    <n v="3957600"/>
    <n v="3249500"/>
    <n v="8380800"/>
    <n v="1222200"/>
    <n v="26918"/>
    <n v="3876192"/>
    <n v="2880226"/>
    <n v="3660848"/>
    <n v="3005843.3333333335"/>
    <n v="7752384"/>
    <n v="1130556"/>
    <x v="0"/>
    <n v="144"/>
    <n v="0"/>
    <n v="0"/>
    <n v="0"/>
  </r>
  <r>
    <n v="1091"/>
    <x v="6"/>
    <s v="P9299294"/>
    <s v="54419 GAR BRIGHT SPF36 YUZU 50ML"/>
    <x v="3"/>
    <n v="69700"/>
    <n v="28.666666666666998"/>
    <n v="32"/>
    <n v="31.333333333333332"/>
    <n v="12"/>
    <n v="0"/>
    <n v="36"/>
    <n v="0"/>
    <n v="36"/>
    <n v="0"/>
    <n v="12"/>
    <n v="90"/>
    <n v="12"/>
    <n v="11.48936170212766"/>
    <n v="78"/>
    <n v="0"/>
    <n v="78"/>
    <n v="48"/>
    <n v="61.276595744680861"/>
    <n v="3345600"/>
    <n v="1998066.6666666898"/>
    <n v="2230400"/>
    <n v="2183933.333333333"/>
    <n v="2509200"/>
    <n v="836400"/>
    <n v="64473"/>
    <n v="3094704"/>
    <n v="1848226.0000000214"/>
    <n v="2063136"/>
    <n v="2020154"/>
    <n v="2321028"/>
    <n v="773676"/>
    <x v="0"/>
    <n v="48"/>
    <n v="0"/>
    <n v="0"/>
    <n v="0"/>
  </r>
  <r>
    <n v="1092"/>
    <x v="6"/>
    <s v="P9299295"/>
    <s v="02005 GAR CL MICELLAR BIPHASE-400ML"/>
    <x v="3"/>
    <n v="114900"/>
    <n v="9"/>
    <n v="39"/>
    <n v="22.000000000000004"/>
    <n v="0"/>
    <n v="0"/>
    <n v="0"/>
    <n v="0"/>
    <n v="0"/>
    <n v="24"/>
    <n v="6"/>
    <n v="90"/>
    <n v="0"/>
    <n v="0"/>
    <n v="105.00000000000001"/>
    <n v="24"/>
    <n v="105.00000000000001"/>
    <n v="102"/>
    <n v="85.909090909090907"/>
    <n v="11719800"/>
    <n v="1034100"/>
    <n v="4481100"/>
    <n v="2527800.0000000005"/>
    <n v="0"/>
    <n v="0"/>
    <n v="106283"/>
    <n v="10840866"/>
    <n v="956547"/>
    <n v="4145037"/>
    <n v="2338226.0000000005"/>
    <n v="0"/>
    <n v="0"/>
    <x v="0"/>
    <n v="78"/>
    <n v="0"/>
    <n v="0"/>
    <n v="0"/>
  </r>
  <r>
    <n v="1093"/>
    <x v="6"/>
    <s v="P9299296"/>
    <s v="09050 GAR CL MICELLAR WTR 50ML-PNK"/>
    <x v="2"/>
    <n v="17200"/>
    <n v="36"/>
    <n v="348"/>
    <n v="116"/>
    <n v="0"/>
    <n v="0"/>
    <n v="0"/>
    <n v="0"/>
    <n v="0"/>
    <n v="48"/>
    <n v="48"/>
    <n v="90"/>
    <n v="0"/>
    <n v="0"/>
    <n v="696"/>
    <n v="48"/>
    <n v="696"/>
    <n v="672"/>
    <n v="83.793103448275858"/>
    <n v="11558400"/>
    <n v="619200"/>
    <n v="5985600"/>
    <n v="1995200"/>
    <n v="0"/>
    <n v="0"/>
    <n v="15910"/>
    <n v="10691520"/>
    <n v="572760"/>
    <n v="5536680"/>
    <n v="1845560"/>
    <n v="0"/>
    <n v="0"/>
    <x v="0"/>
    <n v="624"/>
    <n v="0"/>
    <n v="0"/>
    <n v="0"/>
  </r>
  <r>
    <n v="1094"/>
    <x v="6"/>
    <s v="P9299297"/>
    <s v="14194 GAR MICELLAR ROSE 125ML"/>
    <x v="3"/>
    <n v="24200"/>
    <n v="50.666666666666998"/>
    <n v="322"/>
    <n v="131"/>
    <n v="259"/>
    <n v="0"/>
    <n v="0"/>
    <n v="0"/>
    <n v="0"/>
    <n v="0"/>
    <n v="24"/>
    <n v="90"/>
    <n v="259"/>
    <n v="59.31297709923664"/>
    <n v="456"/>
    <n v="0"/>
    <n v="456"/>
    <n v="456"/>
    <n v="90"/>
    <n v="11035200"/>
    <n v="1226133.3333333414"/>
    <n v="7792400"/>
    <n v="3170200"/>
    <n v="0"/>
    <n v="6267800"/>
    <n v="22385"/>
    <n v="10207560"/>
    <n v="1134173.3333333407"/>
    <n v="7207970"/>
    <n v="2932435"/>
    <n v="0"/>
    <n v="5797715"/>
    <x v="0"/>
    <n v="456"/>
    <n v="0"/>
    <n v="0"/>
    <n v="0"/>
  </r>
  <r>
    <n v="1095"/>
    <x v="6"/>
    <s v="P9299298"/>
    <s v="19670 GAR MCLR SALICYLIC BLUE 400ML"/>
    <x v="3"/>
    <n v="87300"/>
    <n v="9"/>
    <n v="41"/>
    <n v="22.666666666666664"/>
    <n v="169"/>
    <n v="0"/>
    <n v="0"/>
    <n v="0"/>
    <n v="0"/>
    <n v="30"/>
    <n v="6"/>
    <n v="90"/>
    <n v="169"/>
    <n v="223.67647058823533"/>
    <n v="0"/>
    <n v="30"/>
    <n v="0"/>
    <n v="0"/>
    <n v="169.41176470588238"/>
    <n v="0"/>
    <n v="785700"/>
    <n v="3579300"/>
    <n v="1978799.9999999998"/>
    <n v="0"/>
    <n v="14753700"/>
    <n v="80753"/>
    <n v="0"/>
    <n v="726777"/>
    <n v="3310873"/>
    <n v="1830401.3333333333"/>
    <n v="0"/>
    <n v="13647257"/>
    <x v="0"/>
    <n v="-30"/>
    <n v="0"/>
    <n v="0"/>
    <n v="0"/>
  </r>
  <r>
    <n v="1096"/>
    <x v="6"/>
    <s v="P9299299"/>
    <s v="19524 GAR PURE ACTIVE FOAM 100ML"/>
    <x v="3"/>
    <n v="28300"/>
    <n v="12"/>
    <n v="8"/>
    <n v="2.666666666666667"/>
    <n v="37"/>
    <n v="0"/>
    <n v="0"/>
    <n v="0"/>
    <n v="0"/>
    <n v="0"/>
    <n v="12"/>
    <n v="90"/>
    <n v="37"/>
    <n v="416.24999999999994"/>
    <n v="0"/>
    <n v="0"/>
    <n v="0"/>
    <n v="0"/>
    <n v="326.24999999999994"/>
    <n v="0"/>
    <n v="339600"/>
    <n v="226400"/>
    <n v="75466.666666666672"/>
    <n v="0"/>
    <n v="1047100"/>
    <n v="26178"/>
    <n v="0"/>
    <n v="314136"/>
    <n v="209424"/>
    <n v="69808.000000000015"/>
    <n v="0"/>
    <n v="968586"/>
    <x v="0"/>
    <n v="0"/>
    <n v="0"/>
    <n v="0"/>
    <n v="0"/>
  </r>
  <r>
    <n v="1097"/>
    <x v="6"/>
    <s v="P9299300"/>
    <s v="01194 GAR BRIGHT COMP FOAM 9ML"/>
    <x v="2"/>
    <n v="5000"/>
    <n v="272"/>
    <n v="198"/>
    <n v="294"/>
    <n v="2852"/>
    <n v="0"/>
    <n v="0"/>
    <n v="0"/>
    <n v="0"/>
    <n v="0"/>
    <n v="300"/>
    <n v="90"/>
    <n v="2852"/>
    <n v="291.0204081632653"/>
    <n v="0"/>
    <n v="0"/>
    <n v="0"/>
    <n v="0"/>
    <n v="270.81632653061223"/>
    <n v="0"/>
    <n v="1360000"/>
    <n v="990000"/>
    <n v="1470000"/>
    <n v="0"/>
    <n v="14260000"/>
    <n v="4625"/>
    <n v="0"/>
    <n v="1258000"/>
    <n v="915750"/>
    <n v="1359750"/>
    <n v="0"/>
    <n v="13190500"/>
    <x v="0"/>
    <n v="0"/>
    <n v="0"/>
    <n v="0"/>
    <n v="0"/>
  </r>
  <r>
    <n v="1098"/>
    <x v="6"/>
    <s v="P9299301"/>
    <s v="10004 GAR BRIGHT YUZU ES 7.5 ML SCH"/>
    <x v="3"/>
    <n v="16500"/>
    <n v="35"/>
    <n v="85"/>
    <n v="58.333333333333329"/>
    <n v="631"/>
    <n v="0"/>
    <n v="0"/>
    <n v="0"/>
    <n v="0"/>
    <n v="0"/>
    <n v="144"/>
    <n v="90"/>
    <n v="631"/>
    <n v="324.51428571428573"/>
    <n v="0"/>
    <n v="0"/>
    <n v="0"/>
    <n v="0"/>
    <n v="280.8"/>
    <n v="0"/>
    <n v="577500"/>
    <n v="1402500"/>
    <n v="962499.99999999988"/>
    <n v="0"/>
    <n v="10411500"/>
    <n v="15263"/>
    <n v="0"/>
    <n v="534205"/>
    <n v="1297355"/>
    <n v="890341.66666666663"/>
    <n v="0"/>
    <n v="9630953"/>
    <x v="0"/>
    <n v="0"/>
    <n v="0"/>
    <n v="0"/>
    <n v="0"/>
  </r>
  <r>
    <n v="1099"/>
    <x v="6"/>
    <s v="P9299302"/>
    <s v="09534 GAR SAKURA WH WHIP FOAM 100ML"/>
    <x v="3"/>
    <n v="29800"/>
    <n v="21"/>
    <n v="49"/>
    <n v="37.333333333333329"/>
    <n v="30"/>
    <n v="0"/>
    <n v="0"/>
    <n v="0"/>
    <n v="0"/>
    <n v="12"/>
    <n v="12"/>
    <n v="90"/>
    <n v="30"/>
    <n v="24.107142857142861"/>
    <n v="131"/>
    <n v="12"/>
    <n v="131"/>
    <n v="132"/>
    <n v="90.803571428571445"/>
    <n v="3933600"/>
    <n v="625800"/>
    <n v="1460200"/>
    <n v="1112533.3333333333"/>
    <n v="0"/>
    <n v="894000"/>
    <n v="27565"/>
    <n v="3638580"/>
    <n v="578865"/>
    <n v="1350685"/>
    <n v="1029093.3333333333"/>
    <n v="0"/>
    <n v="826950"/>
    <x v="0"/>
    <n v="120"/>
    <n v="0"/>
    <n v="0"/>
    <n v="0"/>
  </r>
  <r>
    <n v="1100"/>
    <x v="6"/>
    <s v="P9299303"/>
    <s v="46940 GAR SAKURA GL NIGHT CRM 20ML"/>
    <x v="3"/>
    <n v="29100"/>
    <n v="28.333333333333002"/>
    <n v="52"/>
    <n v="22"/>
    <n v="108"/>
    <n v="0"/>
    <n v="0"/>
    <n v="0"/>
    <n v="0"/>
    <n v="0"/>
    <n v="24"/>
    <n v="90"/>
    <n v="108"/>
    <n v="147.27272727272728"/>
    <n v="10"/>
    <n v="0"/>
    <n v="10"/>
    <n v="0"/>
    <n v="76.36363636363636"/>
    <n v="0"/>
    <n v="824499.99999999034"/>
    <n v="1513200"/>
    <n v="640200"/>
    <n v="0"/>
    <n v="3142800"/>
    <n v="26918"/>
    <n v="0"/>
    <n v="762676.66666665778"/>
    <n v="1399736"/>
    <n v="592196"/>
    <n v="0"/>
    <n v="2907144"/>
    <x v="0"/>
    <n v="0"/>
    <n v="0"/>
    <n v="0"/>
    <n v="0"/>
  </r>
  <r>
    <n v="1101"/>
    <x v="6"/>
    <s v="P9299304"/>
    <s v="09015 GAR BRIGHT CP WHIP FOAM 100ML"/>
    <x v="3"/>
    <n v="29800"/>
    <n v="12"/>
    <n v="58"/>
    <n v="31.333333333333336"/>
    <n v="0"/>
    <n v="0"/>
    <n v="36"/>
    <n v="0"/>
    <n v="36"/>
    <n v="24"/>
    <n v="12"/>
    <n v="90"/>
    <n v="0"/>
    <n v="0"/>
    <n v="116"/>
    <n v="24"/>
    <n v="116"/>
    <n v="108"/>
    <n v="82.340425531914889"/>
    <n v="3218400"/>
    <n v="357600"/>
    <n v="1728400"/>
    <n v="933733.33333333337"/>
    <n v="1072800"/>
    <n v="0"/>
    <n v="27565"/>
    <n v="2977020"/>
    <n v="330780"/>
    <n v="1598770"/>
    <n v="863703.33333333337"/>
    <n v="992340"/>
    <n v="0"/>
    <x v="0"/>
    <n v="84"/>
    <n v="0"/>
    <n v="0"/>
    <n v="0"/>
  </r>
  <r>
    <n v="1102"/>
    <x v="6"/>
    <s v="P9299305"/>
    <s v="00036 GAR BRIGHT COMP FOAM 50ML EB"/>
    <x v="3"/>
    <n v="18000"/>
    <n v="133.66666666667001"/>
    <n v="310"/>
    <n v="184.99999999999997"/>
    <n v="208"/>
    <n v="0"/>
    <n v="408"/>
    <n v="0"/>
    <n v="408"/>
    <n v="0"/>
    <n v="24"/>
    <n v="90"/>
    <n v="208"/>
    <n v="33.729729729729733"/>
    <n v="248.99999999999989"/>
    <n v="0"/>
    <n v="248.99999999999989"/>
    <n v="240"/>
    <n v="88.540540540540562"/>
    <n v="4320000"/>
    <n v="2406000.0000000601"/>
    <n v="5580000"/>
    <n v="3329999.9999999995"/>
    <n v="7344000"/>
    <n v="3744000"/>
    <n v="16650"/>
    <n v="3996000"/>
    <n v="2225550.0000000559"/>
    <n v="5161500"/>
    <n v="3080249.9999999995"/>
    <n v="6793200"/>
    <n v="3463200"/>
    <x v="0"/>
    <n v="240"/>
    <n v="0"/>
    <n v="0"/>
    <n v="0"/>
  </r>
  <r>
    <n v="1103"/>
    <x v="6"/>
    <s v="P9299306"/>
    <s v="00609 GAR BRIGHT CP SCRUB 100ML EB"/>
    <x v="3"/>
    <n v="28300"/>
    <n v="85.666666666666998"/>
    <n v="242"/>
    <n v="133.33333333333334"/>
    <n v="50"/>
    <n v="0"/>
    <n v="0"/>
    <n v="0"/>
    <n v="0"/>
    <n v="96"/>
    <n v="12"/>
    <n v="90"/>
    <n v="50"/>
    <n v="11.25"/>
    <n v="592"/>
    <n v="96"/>
    <n v="592"/>
    <n v="588"/>
    <n v="89.1"/>
    <n v="16640400"/>
    <n v="2424366.6666666758"/>
    <n v="6848600"/>
    <n v="3773333.3333333335"/>
    <n v="0"/>
    <n v="1415000"/>
    <n v="26178"/>
    <n v="15392664"/>
    <n v="2242582.0000000088"/>
    <n v="6335076"/>
    <n v="3490400.0000000005"/>
    <n v="0"/>
    <n v="1308900"/>
    <x v="0"/>
    <n v="492"/>
    <n v="0"/>
    <n v="0"/>
    <n v="0"/>
  </r>
  <r>
    <n v="1104"/>
    <x v="6"/>
    <s v="P9299307"/>
    <s v="00593 GAR BRIGHT CP SCRUB 50ML EBT"/>
    <x v="2"/>
    <n v="18000"/>
    <n v="60"/>
    <n v="96"/>
    <n v="74"/>
    <n v="242"/>
    <n v="0"/>
    <n v="0"/>
    <n v="0"/>
    <n v="0"/>
    <n v="0"/>
    <n v="24"/>
    <n v="90"/>
    <n v="242"/>
    <n v="98.108108108108098"/>
    <n v="76"/>
    <n v="0"/>
    <n v="76"/>
    <n v="72"/>
    <n v="88.378378378378386"/>
    <n v="1296000"/>
    <n v="1080000"/>
    <n v="1728000"/>
    <n v="1332000"/>
    <n v="0"/>
    <n v="4356000"/>
    <n v="16650"/>
    <n v="1198800"/>
    <n v="999000"/>
    <n v="1598400"/>
    <n v="1232100"/>
    <n v="0"/>
    <n v="4029300"/>
    <x v="0"/>
    <n v="72"/>
    <n v="0"/>
    <n v="0"/>
    <n v="0"/>
  </r>
  <r>
    <n v="1105"/>
    <x v="6"/>
    <s v="P9299308"/>
    <s v="11377 GAR BRIGHT DARK SP SERUM 30ML"/>
    <x v="3"/>
    <n v="114800"/>
    <n v="21"/>
    <n v="22"/>
    <n v="26.333333333333336"/>
    <n v="69"/>
    <n v="0"/>
    <n v="0"/>
    <n v="0"/>
    <n v="0"/>
    <n v="0"/>
    <n v="12"/>
    <n v="90"/>
    <n v="69"/>
    <n v="78.60759493670885"/>
    <n v="32"/>
    <n v="0"/>
    <n v="32"/>
    <n v="0"/>
    <n v="53.544303797468345"/>
    <n v="0"/>
    <n v="2410800"/>
    <n v="2525600"/>
    <n v="3023066.666666667"/>
    <n v="0"/>
    <n v="7921200"/>
    <n v="106190"/>
    <n v="0"/>
    <n v="2229990"/>
    <n v="2336180"/>
    <n v="2796336.666666667"/>
    <n v="0"/>
    <n v="7327110"/>
    <x v="0"/>
    <n v="0"/>
    <n v="0"/>
    <n v="0"/>
    <n v="0"/>
  </r>
  <r>
    <n v="1106"/>
    <x v="6"/>
    <s v="P9299309"/>
    <s v="17881 GAR CL MICELLAR BIPHASE 50ML"/>
    <x v="3"/>
    <n v="21800"/>
    <n v="44"/>
    <n v="181"/>
    <n v="85.333333333333329"/>
    <n v="0"/>
    <n v="0"/>
    <n v="0"/>
    <n v="0"/>
    <n v="0"/>
    <n v="96"/>
    <n v="48"/>
    <n v="90"/>
    <n v="0"/>
    <n v="0"/>
    <n v="437"/>
    <n v="96"/>
    <n v="437"/>
    <n v="432"/>
    <n v="88.2421875"/>
    <n v="9417600"/>
    <n v="959200"/>
    <n v="3945800"/>
    <n v="1860266.6666666665"/>
    <n v="0"/>
    <n v="0"/>
    <n v="20165"/>
    <n v="8711280"/>
    <n v="887260"/>
    <n v="3649865"/>
    <n v="1720746.6666666665"/>
    <n v="0"/>
    <n v="0"/>
    <x v="0"/>
    <n v="336"/>
    <n v="0"/>
    <n v="0"/>
    <n v="0"/>
  </r>
  <r>
    <n v="1107"/>
    <x v="6"/>
    <s v="P9299310"/>
    <s v="13845 GAR MCLR BRIGHT VIT C 125 ML"/>
    <x v="3"/>
    <n v="24200"/>
    <n v="123"/>
    <n v="376"/>
    <n v="176.33333333333334"/>
    <n v="148"/>
    <n v="0"/>
    <n v="0"/>
    <n v="0"/>
    <n v="0"/>
    <n v="24"/>
    <n v="24"/>
    <n v="90"/>
    <n v="148"/>
    <n v="25.179584120982984"/>
    <n v="757"/>
    <n v="24"/>
    <n v="757"/>
    <n v="720"/>
    <n v="83.705103969754248"/>
    <n v="17424000"/>
    <n v="2976600"/>
    <n v="9099200"/>
    <n v="4267266.666666667"/>
    <n v="0"/>
    <n v="3581600"/>
    <n v="22385"/>
    <n v="16117200"/>
    <n v="2753355"/>
    <n v="8416760"/>
    <n v="3947221.666666667"/>
    <n v="0"/>
    <n v="3312980"/>
    <x v="0"/>
    <n v="696"/>
    <n v="0"/>
    <n v="0"/>
    <n v="0"/>
  </r>
  <r>
    <n v="1108"/>
    <x v="6"/>
    <s v="P9299311"/>
    <s v="03662 GAR SAKURA GLOW SPF30 20ML EB"/>
    <x v="3"/>
    <n v="29100"/>
    <n v="65"/>
    <n v="110"/>
    <n v="87.666666666666671"/>
    <n v="3"/>
    <n v="0"/>
    <n v="0"/>
    <n v="0"/>
    <n v="0"/>
    <n v="120"/>
    <n v="24"/>
    <n v="90"/>
    <n v="3"/>
    <n v="1.0266159695817492"/>
    <n v="370"/>
    <n v="120"/>
    <n v="370"/>
    <n v="360"/>
    <n v="86.577946768060826"/>
    <n v="10476000"/>
    <n v="1891500"/>
    <n v="3201000"/>
    <n v="2551100"/>
    <n v="0"/>
    <n v="87300"/>
    <n v="26918"/>
    <n v="9690480"/>
    <n v="1749670"/>
    <n v="2960980"/>
    <n v="2359811.3333333335"/>
    <n v="0"/>
    <n v="80754"/>
    <x v="0"/>
    <n v="240"/>
    <n v="0"/>
    <n v="0"/>
    <n v="0"/>
  </r>
  <r>
    <n v="1109"/>
    <x v="6"/>
    <s v="P9299313"/>
    <s v="13869 GAR MCLR BRIGHT VIT C 400 ML"/>
    <x v="3"/>
    <n v="87300"/>
    <n v="15"/>
    <n v="16"/>
    <n v="8.3333333333333321"/>
    <n v="15"/>
    <n v="0"/>
    <n v="0"/>
    <n v="0"/>
    <n v="0"/>
    <n v="6"/>
    <n v="6"/>
    <n v="90"/>
    <n v="15"/>
    <n v="54.000000000000007"/>
    <n v="26"/>
    <n v="6"/>
    <n v="26"/>
    <n v="24"/>
    <n v="82.800000000000011"/>
    <n v="2095200"/>
    <n v="1309500"/>
    <n v="1396800"/>
    <n v="727499.99999999988"/>
    <n v="0"/>
    <n v="1309500"/>
    <n v="80753"/>
    <n v="1938072"/>
    <n v="1211295"/>
    <n v="1292048"/>
    <n v="672941.66666666663"/>
    <n v="0"/>
    <n v="1211295"/>
    <x v="0"/>
    <n v="18"/>
    <n v="0"/>
    <n v="0"/>
    <n v="0"/>
  </r>
  <r>
    <n v="1110"/>
    <x v="6"/>
    <s v="P9299315"/>
    <s v="18222 GAR BRIGHT ANTIACNE FM100ML"/>
    <x v="3"/>
    <n v="29800"/>
    <n v="17"/>
    <n v="69"/>
    <n v="35"/>
    <n v="24"/>
    <n v="0"/>
    <n v="48"/>
    <n v="0"/>
    <n v="48"/>
    <n v="0"/>
    <n v="12"/>
    <n v="90"/>
    <n v="24"/>
    <n v="20.571428571428573"/>
    <n v="102"/>
    <n v="0"/>
    <n v="102"/>
    <n v="96"/>
    <n v="84.857142857142861"/>
    <n v="2860800"/>
    <n v="506600"/>
    <n v="2056200"/>
    <n v="1043000"/>
    <n v="1430400"/>
    <n v="715200"/>
    <n v="27565"/>
    <n v="2646240"/>
    <n v="468605"/>
    <n v="1901985"/>
    <n v="964775"/>
    <n v="1323120"/>
    <n v="661560"/>
    <x v="0"/>
    <n v="96"/>
    <n v="0"/>
    <n v="0"/>
    <n v="0"/>
  </r>
  <r>
    <n v="1111"/>
    <x v="6"/>
    <s v="P9299316"/>
    <s v="15298 GAR MEN AC FIGHT FOAM 100ML"/>
    <x v="3"/>
    <n v="29900"/>
    <n v="515.33333333332996"/>
    <n v="277"/>
    <n v="141.66666666666669"/>
    <n v="1311"/>
    <n v="0"/>
    <n v="840"/>
    <n v="0"/>
    <n v="840"/>
    <n v="0"/>
    <n v="12"/>
    <n v="90"/>
    <n v="1311"/>
    <n v="277.62352941176465"/>
    <n v="0"/>
    <n v="0"/>
    <n v="0"/>
    <n v="0"/>
    <n v="396.84705882352938"/>
    <n v="0"/>
    <n v="15408466.666666565"/>
    <n v="8282300"/>
    <n v="4235833.333333334"/>
    <n v="25116000"/>
    <n v="39198900"/>
    <n v="27658"/>
    <n v="0"/>
    <n v="14253089.333333241"/>
    <n v="7661266"/>
    <n v="3918216.666666667"/>
    <n v="23232720"/>
    <n v="36259638"/>
    <x v="0"/>
    <n v="0"/>
    <n v="0"/>
    <n v="0"/>
    <n v="0"/>
  </r>
  <r>
    <n v="1112"/>
    <x v="6"/>
    <s v="P9299317"/>
    <s v="16967 GAR MEN AC FIGHT FOAM 50ML"/>
    <x v="2"/>
    <n v="21100"/>
    <n v="40.333333333333002"/>
    <n v="65"/>
    <n v="37"/>
    <n v="437"/>
    <n v="0"/>
    <n v="0"/>
    <n v="0"/>
    <n v="0"/>
    <n v="0"/>
    <n v="24"/>
    <n v="90"/>
    <n v="437"/>
    <n v="354.32432432432432"/>
    <n v="0"/>
    <n v="0"/>
    <n v="0"/>
    <n v="0"/>
    <n v="301.62162162162161"/>
    <n v="0"/>
    <n v="851033.33333332639"/>
    <n v="1371500"/>
    <n v="780700"/>
    <n v="0"/>
    <n v="9220700"/>
    <n v="19518"/>
    <n v="0"/>
    <n v="787225.99999999348"/>
    <n v="1268670"/>
    <n v="722166"/>
    <n v="0"/>
    <n v="8529366"/>
    <x v="0"/>
    <n v="0"/>
    <n v="0"/>
    <n v="0"/>
    <n v="0"/>
  </r>
  <r>
    <n v="1113"/>
    <x v="6"/>
    <s v="P9299318"/>
    <s v="09167 GAR MEN OIL CTRL FOAM 100ML"/>
    <x v="3"/>
    <n v="29900"/>
    <n v="38.333333333333002"/>
    <n v="91"/>
    <n v="53.666666666666664"/>
    <n v="118"/>
    <n v="0"/>
    <n v="0"/>
    <n v="0"/>
    <n v="0"/>
    <n v="0"/>
    <n v="12"/>
    <n v="90"/>
    <n v="118"/>
    <n v="65.962732919254663"/>
    <n v="134"/>
    <n v="0"/>
    <n v="134"/>
    <n v="132"/>
    <n v="88.881987577639762"/>
    <n v="3946800"/>
    <n v="1146166.6666666567"/>
    <n v="2720900"/>
    <n v="1604633.3333333333"/>
    <n v="0"/>
    <n v="3528200"/>
    <n v="27658"/>
    <n v="3650856"/>
    <n v="1060223.3333333242"/>
    <n v="2516878"/>
    <n v="1484312.6666666665"/>
    <n v="0"/>
    <n v="3263644"/>
    <x v="0"/>
    <n v="132"/>
    <n v="0"/>
    <n v="0"/>
    <n v="0"/>
  </r>
  <r>
    <n v="1114"/>
    <x v="6"/>
    <s v="P9299319"/>
    <s v="09181 GAR MEN OIL CT ICY SCRUB 50ML"/>
    <x v="3"/>
    <n v="21100"/>
    <n v="26"/>
    <n v="35"/>
    <n v="28"/>
    <n v="0"/>
    <n v="0"/>
    <n v="0"/>
    <n v="0"/>
    <n v="0"/>
    <n v="48"/>
    <n v="24"/>
    <n v="90"/>
    <n v="0"/>
    <n v="0"/>
    <n v="119"/>
    <n v="48"/>
    <n v="119"/>
    <n v="120"/>
    <n v="91.071428571428569"/>
    <n v="2532000"/>
    <n v="548600"/>
    <n v="738500"/>
    <n v="590800"/>
    <n v="0"/>
    <n v="0"/>
    <n v="19518"/>
    <n v="2342160"/>
    <n v="507468"/>
    <n v="683130"/>
    <n v="546504"/>
    <n v="0"/>
    <n v="0"/>
    <x v="0"/>
    <n v="72"/>
    <n v="0"/>
    <n v="0"/>
    <n v="0"/>
  </r>
  <r>
    <n v="1115"/>
    <x v="6"/>
    <s v="P9299320"/>
    <s v="01323 GAR MEN 3IN1 CHARCOAL 100ML"/>
    <x v="3"/>
    <n v="29900"/>
    <n v="47.333333333333002"/>
    <n v="81"/>
    <n v="56.333333333333336"/>
    <n v="949"/>
    <n v="0"/>
    <n v="0"/>
    <n v="0"/>
    <n v="0"/>
    <n v="0"/>
    <n v="12"/>
    <n v="90"/>
    <n v="949"/>
    <n v="505.38461538461542"/>
    <n v="0"/>
    <n v="0"/>
    <n v="0"/>
    <n v="0"/>
    <n v="462.24852071005915"/>
    <n v="0"/>
    <n v="1415266.6666666567"/>
    <n v="2421900"/>
    <n v="1684366.6666666667"/>
    <n v="0"/>
    <n v="28375100"/>
    <n v="27658"/>
    <n v="0"/>
    <n v="1309145.3333333242"/>
    <n v="2240298"/>
    <n v="1558067.3333333335"/>
    <n v="0"/>
    <n v="26247442"/>
    <x v="0"/>
    <n v="0"/>
    <n v="0"/>
    <n v="0"/>
    <n v="0"/>
  </r>
  <r>
    <n v="1116"/>
    <x v="6"/>
    <s v="P9299321"/>
    <s v="01378 GAR MEN 3IN1 CHARCOAL 50ML"/>
    <x v="3"/>
    <n v="21100"/>
    <n v="8.3333333333333002"/>
    <n v="40"/>
    <n v="15.666666666666666"/>
    <n v="161"/>
    <n v="0"/>
    <n v="0"/>
    <n v="0"/>
    <n v="0"/>
    <n v="0"/>
    <n v="24"/>
    <n v="90"/>
    <n v="161"/>
    <n v="308.2978723404255"/>
    <n v="0"/>
    <n v="0"/>
    <n v="0"/>
    <n v="0"/>
    <n v="231.70212765957447"/>
    <n v="0"/>
    <n v="175833.33333333264"/>
    <n v="844000"/>
    <n v="330566.66666666663"/>
    <n v="0"/>
    <n v="3397100"/>
    <n v="19518"/>
    <n v="0"/>
    <n v="162649.99999999936"/>
    <n v="780720"/>
    <n v="305782"/>
    <n v="0"/>
    <n v="3142398"/>
    <x v="0"/>
    <n v="0"/>
    <n v="0"/>
    <n v="0"/>
    <n v="0"/>
  </r>
  <r>
    <n v="1117"/>
    <x v="6"/>
    <s v="P9299327"/>
    <s v="31281 LOR ELS FR SHP 450ML"/>
    <x v="2"/>
    <n v="75700"/>
    <n v="2"/>
    <n v="0"/>
    <n v="0"/>
    <n v="54"/>
    <n v="0"/>
    <n v="0"/>
    <n v="0"/>
    <n v="0"/>
    <n v="0"/>
    <n v="12"/>
    <n v="90"/>
    <n v="54"/>
    <n v="9999"/>
    <n v="0"/>
    <n v="0"/>
    <n v="0"/>
    <n v="0"/>
    <n v="9999"/>
    <n v="0"/>
    <n v="151400"/>
    <n v="0"/>
    <n v="0"/>
    <n v="0"/>
    <n v="4087800"/>
    <n v="70023"/>
    <n v="0"/>
    <n v="140046"/>
    <n v="0"/>
    <n v="0"/>
    <n v="0"/>
    <n v="3781242"/>
    <x v="0"/>
    <n v="0"/>
    <n v="0"/>
    <n v="0"/>
    <n v="0"/>
  </r>
  <r>
    <n v="1118"/>
    <x v="6"/>
    <s v="P9299331"/>
    <s v="58928 SUPERSTAY V INK 145 ROGUE ASX"/>
    <x v="2"/>
    <n v="90100"/>
    <n v="978.0000000000075"/>
    <n v="729"/>
    <n v="910.66666666666686"/>
    <n v="1527"/>
    <n v="0"/>
    <n v="327"/>
    <n v="0"/>
    <n v="327"/>
    <n v="1038"/>
    <n v="126"/>
    <n v="90"/>
    <n v="1527"/>
    <n v="50.303806734992669"/>
    <n v="1607.0000000000005"/>
    <n v="1038"/>
    <n v="1607.0000000000005"/>
    <n v="1608"/>
    <n v="90.032942898975094"/>
    <n v="144880800"/>
    <n v="88117800.000000671"/>
    <n v="65682900"/>
    <n v="82051066.666666687"/>
    <n v="29462700"/>
    <n v="137582700"/>
    <n v="83343"/>
    <n v="134015544"/>
    <n v="81509454.000000626"/>
    <n v="60757047"/>
    <n v="75897692.000000015"/>
    <n v="27253161"/>
    <n v="127264761"/>
    <x v="0"/>
    <n v="570"/>
    <n v="0"/>
    <n v="0"/>
    <n v="0"/>
  </r>
  <r>
    <n v="1119"/>
    <x v="6"/>
    <s v="P9299332"/>
    <s v="58935 SUPERSTAY V INK 150 STRIK ASX"/>
    <x v="1"/>
    <n v="90100"/>
    <n v="71.333333333333002"/>
    <n v="49"/>
    <n v="67.666666666666657"/>
    <n v="1169"/>
    <n v="0"/>
    <n v="18"/>
    <n v="0"/>
    <n v="18"/>
    <n v="42"/>
    <n v="126"/>
    <n v="90"/>
    <n v="1169"/>
    <n v="518.27586206896558"/>
    <n v="0"/>
    <n v="42"/>
    <n v="0"/>
    <n v="0"/>
    <n v="504.53201970443359"/>
    <n v="0"/>
    <n v="6427133.3333333032"/>
    <n v="4414900"/>
    <n v="6096766.666666666"/>
    <n v="1621800"/>
    <n v="105326900"/>
    <n v="83343"/>
    <n v="0"/>
    <n v="5945133.9999999721"/>
    <n v="4083807"/>
    <n v="5639542.9999999991"/>
    <n v="1500174"/>
    <n v="97427967"/>
    <x v="0"/>
    <n v="-42"/>
    <n v="0"/>
    <n v="0"/>
    <n v="0"/>
  </r>
  <r>
    <n v="1120"/>
    <x v="6"/>
    <s v="P9299337"/>
    <s v="70026 SUPERSTAY V INK 155UPBEAT ASX"/>
    <x v="1"/>
    <n v="90100"/>
    <n v="79.666666666666401"/>
    <n v="37"/>
    <n v="68"/>
    <n v="1215"/>
    <n v="0"/>
    <n v="24"/>
    <n v="0"/>
    <n v="24"/>
    <n v="30"/>
    <n v="126"/>
    <n v="90"/>
    <n v="1215"/>
    <n v="536.02941176470586"/>
    <n v="0"/>
    <n v="30"/>
    <n v="0"/>
    <n v="0"/>
    <n v="530.29411764705878"/>
    <n v="0"/>
    <n v="7177966.6666666428"/>
    <n v="3333700"/>
    <n v="6126800"/>
    <n v="2162400"/>
    <n v="109471500"/>
    <n v="83343"/>
    <n v="0"/>
    <n v="6639658.9999999776"/>
    <n v="3083691"/>
    <n v="5667324"/>
    <n v="2000232"/>
    <n v="101261745"/>
    <x v="0"/>
    <n v="-30"/>
    <n v="0"/>
    <n v="0"/>
    <n v="0"/>
  </r>
  <r>
    <n v="1121"/>
    <x v="6"/>
    <s v="P9299349"/>
    <s v="39666 GAR COLNAT ULT COLOUR 6.62SCH"/>
    <x v="2"/>
    <n v="15800"/>
    <n v="2236.3333333332998"/>
    <n v="0"/>
    <n v="1366.6666666666667"/>
    <n v="1451"/>
    <n v="0"/>
    <n v="0"/>
    <n v="0"/>
    <n v="0"/>
    <n v="0"/>
    <n v="96"/>
    <n v="90"/>
    <n v="1451"/>
    <n v="31.851219512195115"/>
    <n v="2649"/>
    <n v="0"/>
    <n v="0"/>
    <n v="0"/>
    <n v="31.851219512195115"/>
    <n v="0"/>
    <n v="35334066.666666135"/>
    <n v="0"/>
    <n v="21593333.333333336"/>
    <n v="0"/>
    <n v="22925800"/>
    <n v="14615"/>
    <n v="0"/>
    <n v="32684011.666666176"/>
    <n v="0"/>
    <n v="19973833.333333336"/>
    <n v="0"/>
    <n v="21206365"/>
    <x v="0"/>
    <n v="0"/>
    <n v="0"/>
    <n v="0"/>
    <n v="0"/>
  </r>
  <r>
    <n v="1122"/>
    <x v="6"/>
    <s v="P9299350"/>
    <s v="50632 LOR ELS EXTRA OIL PINK 100ML"/>
    <x v="2"/>
    <n v="132600"/>
    <n v="4"/>
    <n v="5"/>
    <n v="1.6666666666666665"/>
    <n v="173"/>
    <n v="0"/>
    <n v="0"/>
    <n v="0"/>
    <n v="0"/>
    <n v="0"/>
    <n v="12"/>
    <n v="90"/>
    <n v="173"/>
    <n v="3114.0000000000005"/>
    <n v="0"/>
    <n v="0"/>
    <n v="0"/>
    <n v="0"/>
    <n v="3024.0000000000005"/>
    <n v="0"/>
    <n v="530400"/>
    <n v="663000"/>
    <n v="220999.99999999997"/>
    <n v="0"/>
    <n v="22939800"/>
    <n v="122655"/>
    <n v="0"/>
    <n v="490620"/>
    <n v="613275"/>
    <n v="204424.99999999997"/>
    <n v="0"/>
    <n v="21219315"/>
    <x v="0"/>
    <n v="0"/>
    <n v="0"/>
    <n v="0"/>
    <n v="0"/>
  </r>
  <r>
    <n v="1123"/>
    <x v="6"/>
    <s v="P9299353"/>
    <s v="85757 LOR EXC FASHION ASH 6.11 EBT"/>
    <x v="1"/>
    <n v="136900"/>
    <n v="1"/>
    <n v="0"/>
    <n v="1"/>
    <n v="46"/>
    <n v="0"/>
    <n v="0"/>
    <n v="0"/>
    <n v="0"/>
    <n v="0"/>
    <n v="12"/>
    <n v="90"/>
    <n v="46"/>
    <n v="1380"/>
    <n v="0"/>
    <n v="0"/>
    <n v="0"/>
    <n v="0"/>
    <n v="1380"/>
    <n v="0"/>
    <n v="136900"/>
    <n v="0"/>
    <n v="136900"/>
    <n v="0"/>
    <n v="6297400"/>
    <n v="126633"/>
    <n v="0"/>
    <n v="126633"/>
    <n v="0"/>
    <n v="126633"/>
    <n v="0"/>
    <n v="5825118"/>
    <x v="0"/>
    <n v="0"/>
    <n v="0"/>
    <n v="0"/>
    <n v="0"/>
  </r>
  <r>
    <n v="1124"/>
    <x v="6"/>
    <s v="P9299354"/>
    <s v="23926 LOR EXC FSH-#5.62 VIOL BROWN"/>
    <x v="1"/>
    <n v="136900"/>
    <n v="6.6666666666666998"/>
    <n v="3"/>
    <n v="3.666666666666667"/>
    <n v="61"/>
    <n v="0"/>
    <n v="0"/>
    <n v="0"/>
    <n v="0"/>
    <n v="0"/>
    <n v="12"/>
    <n v="90"/>
    <n v="61"/>
    <n v="499.09090909090912"/>
    <n v="0"/>
    <n v="0"/>
    <n v="0"/>
    <n v="0"/>
    <n v="474.5454545454545"/>
    <n v="0"/>
    <n v="912666.66666667117"/>
    <n v="410700"/>
    <n v="501966.66666666669"/>
    <n v="0"/>
    <n v="8350900"/>
    <n v="126633"/>
    <n v="0"/>
    <n v="844220.00000000419"/>
    <n v="379899"/>
    <n v="464321.00000000006"/>
    <n v="0"/>
    <n v="7724613"/>
    <x v="0"/>
    <n v="0"/>
    <n v="0"/>
    <n v="0"/>
    <n v="0"/>
  </r>
  <r>
    <n v="1125"/>
    <x v="6"/>
    <s v="P9299355"/>
    <s v="78504 GAR MEN SHAMPOO COLOR-SH1"/>
    <x v="1"/>
    <n v="15800"/>
    <n v="55.333333333333002"/>
    <n v="15"/>
    <n v="32"/>
    <n v="26"/>
    <n v="0"/>
    <n v="0"/>
    <n v="0"/>
    <n v="0"/>
    <n v="96"/>
    <n v="96"/>
    <n v="90"/>
    <n v="26"/>
    <n v="24.375"/>
    <n v="85"/>
    <n v="96"/>
    <n v="96"/>
    <n v="0"/>
    <n v="10.3125"/>
    <n v="0"/>
    <n v="874266.66666666139"/>
    <n v="237000"/>
    <n v="505600"/>
    <n v="0"/>
    <n v="410800"/>
    <n v="14615"/>
    <n v="0"/>
    <n v="808696.66666666185"/>
    <n v="219225"/>
    <n v="467680"/>
    <n v="0"/>
    <n v="379990"/>
    <x v="0"/>
    <n v="-96"/>
    <n v="0"/>
    <n v="0"/>
    <n v="0"/>
  </r>
  <r>
    <n v="1126"/>
    <x v="6"/>
    <s v="P9299365"/>
    <s v="50588 LOR ELS EXTRAOR OIL GOLD 30ML"/>
    <x v="3"/>
    <n v="44600"/>
    <n v="28"/>
    <n v="34"/>
    <n v="27.333333333333332"/>
    <n v="54"/>
    <n v="0"/>
    <n v="0"/>
    <n v="0"/>
    <n v="0"/>
    <n v="24"/>
    <n v="24"/>
    <n v="90"/>
    <n v="54"/>
    <n v="59.268292682926827"/>
    <n v="62"/>
    <n v="24"/>
    <n v="62"/>
    <n v="45"/>
    <n v="71.341463414634148"/>
    <n v="2007000"/>
    <n v="1248800"/>
    <n v="1516400"/>
    <n v="1219066.6666666665"/>
    <n v="0"/>
    <n v="2408400"/>
    <n v="41255"/>
    <n v="1856475"/>
    <n v="1155140"/>
    <n v="1402670"/>
    <n v="1127636.6666666665"/>
    <n v="0"/>
    <n v="2227770"/>
    <x v="0"/>
    <n v="21"/>
    <n v="0"/>
    <n v="0"/>
    <n v="0"/>
  </r>
  <r>
    <n v="1127"/>
    <x v="6"/>
    <s v="P9299371"/>
    <s v="81008 VOL PANORAMA MSCR BLACK 9.4ML"/>
    <x v="1"/>
    <n v="104000"/>
    <n v="175.00000000000088"/>
    <n v="140"/>
    <n v="133.66666666666666"/>
    <n v="384"/>
    <n v="0"/>
    <n v="0"/>
    <n v="0"/>
    <n v="0"/>
    <n v="291"/>
    <n v="72"/>
    <n v="90"/>
    <n v="384"/>
    <n v="86.184538653366587"/>
    <n v="157"/>
    <n v="291"/>
    <n v="291"/>
    <n v="0"/>
    <n v="54.763092269326691"/>
    <n v="0"/>
    <n v="18200000.000000093"/>
    <n v="14560000"/>
    <n v="13901333.333333332"/>
    <n v="0"/>
    <n v="39936000"/>
    <n v="96200"/>
    <n v="0"/>
    <n v="16835000.000000086"/>
    <n v="13468000"/>
    <n v="12858733.333333332"/>
    <n v="0"/>
    <n v="36940800"/>
    <x v="0"/>
    <n v="-291"/>
    <n v="0"/>
    <n v="0"/>
    <n v="0"/>
  </r>
  <r>
    <n v="1128"/>
    <x v="6"/>
    <s v="P9299375"/>
    <s v="25404 GARNIER MLCR BLUE 50 ML"/>
    <x v="1"/>
    <n v="17200"/>
    <n v="27"/>
    <n v="31"/>
    <n v="27.333333333333336"/>
    <n v="48"/>
    <n v="0"/>
    <n v="0"/>
    <n v="0"/>
    <n v="0"/>
    <n v="0"/>
    <n v="48"/>
    <n v="90"/>
    <n v="48"/>
    <n v="52.682926829268283"/>
    <n v="65"/>
    <n v="0"/>
    <n v="65"/>
    <n v="0"/>
    <n v="18.658536585365855"/>
    <n v="0"/>
    <n v="464400"/>
    <n v="533200"/>
    <n v="470133.33333333337"/>
    <n v="0"/>
    <n v="825600"/>
    <n v="15910"/>
    <n v="0"/>
    <n v="429570"/>
    <n v="493210"/>
    <n v="434873.33333333337"/>
    <n v="0"/>
    <n v="763680"/>
    <x v="0"/>
    <n v="0"/>
    <n v="0"/>
    <n v="0"/>
    <n v="0"/>
  </r>
  <r>
    <n v="1129"/>
    <x v="6"/>
    <s v="P9299378"/>
    <s v="54368 SS MATTE INK EXT 60 POET"/>
    <x v="2"/>
    <n v="87600"/>
    <n v="1524.6666666666697"/>
    <n v="1861"/>
    <n v="1633"/>
    <n v="4580"/>
    <n v="0"/>
    <n v="240"/>
    <n v="0"/>
    <n v="240"/>
    <n v="771"/>
    <n v="126"/>
    <n v="90"/>
    <n v="4580"/>
    <n v="84.139620330679733"/>
    <n v="1940"/>
    <n v="771"/>
    <n v="1940"/>
    <n v="1941"/>
    <n v="90.018371096142062"/>
    <n v="170031600"/>
    <n v="133560800.00000027"/>
    <n v="163023600"/>
    <n v="143050800"/>
    <n v="21024000"/>
    <n v="401208000"/>
    <n v="81030"/>
    <n v="157279230"/>
    <n v="123543740.00000024"/>
    <n v="150796830"/>
    <n v="132321990"/>
    <n v="19447200"/>
    <n v="371117400"/>
    <x v="0"/>
    <n v="1170"/>
    <n v="0"/>
    <n v="0"/>
    <n v="0"/>
  </r>
  <r>
    <n v="1130"/>
    <x v="6"/>
    <s v="P9299379"/>
    <s v="57782 SSMI PINKS 160 MOVER"/>
    <x v="1"/>
    <n v="87600"/>
    <n v="302.66666666666379"/>
    <n v="135"/>
    <n v="137.33333333333334"/>
    <n v="2730"/>
    <n v="0"/>
    <n v="12"/>
    <n v="0"/>
    <n v="12"/>
    <n v="9"/>
    <n v="126"/>
    <n v="90"/>
    <n v="2730"/>
    <n v="596.35922330097083"/>
    <n v="0"/>
    <n v="9"/>
    <n v="0"/>
    <n v="0"/>
    <n v="569.49029126213588"/>
    <n v="0"/>
    <n v="26513599.999999747"/>
    <n v="11826000"/>
    <n v="12030400"/>
    <n v="1051200"/>
    <n v="239148000"/>
    <n v="81030"/>
    <n v="0"/>
    <n v="24525079.999999765"/>
    <n v="10939050"/>
    <n v="11128120"/>
    <n v="972360"/>
    <n v="221211900"/>
    <x v="0"/>
    <n v="-9"/>
    <n v="0"/>
    <n v="0"/>
    <n v="0"/>
  </r>
  <r>
    <n v="1131"/>
    <x v="6"/>
    <s v="P9299380"/>
    <s v="58949 SSMI SP ED 325 SHOT CALLER"/>
    <x v="3"/>
    <n v="87600"/>
    <n v="2304.6666666666715"/>
    <n v="3290"/>
    <n v="2581.3333333333335"/>
    <n v="7628"/>
    <n v="0"/>
    <n v="459"/>
    <n v="0"/>
    <n v="459"/>
    <n v="1023"/>
    <n v="126"/>
    <n v="90"/>
    <n v="7628"/>
    <n v="88.651859504132219"/>
    <n v="2947"/>
    <n v="1023"/>
    <n v="2947"/>
    <n v="2400"/>
    <n v="83.642820247933869"/>
    <n v="210240000"/>
    <n v="201888800.00000042"/>
    <n v="288204000"/>
    <n v="226124800"/>
    <n v="40208400"/>
    <n v="668212800"/>
    <n v="81030"/>
    <n v="194472000"/>
    <n v="186747140.00000039"/>
    <n v="266588700"/>
    <n v="209165440"/>
    <n v="37192770"/>
    <n v="618096840"/>
    <x v="0"/>
    <n v="1377"/>
    <n v="0"/>
    <n v="0"/>
    <n v="0"/>
  </r>
  <r>
    <n v="1132"/>
    <x v="6"/>
    <s v="P9299381"/>
    <s v="57784 SSMI PINKS 180 REVOLUTIONARY"/>
    <x v="1"/>
    <n v="87600"/>
    <n v="40.333333333333343"/>
    <n v="41"/>
    <n v="25.333333333333336"/>
    <n v="2682"/>
    <n v="0"/>
    <n v="0"/>
    <n v="0"/>
    <n v="0"/>
    <n v="42"/>
    <n v="126"/>
    <n v="90"/>
    <n v="2682"/>
    <n v="3176.0526315789471"/>
    <n v="0"/>
    <n v="42"/>
    <n v="0"/>
    <n v="0"/>
    <n v="3127.4999999999995"/>
    <n v="0"/>
    <n v="3533200.0000000009"/>
    <n v="3591600"/>
    <n v="2219200"/>
    <n v="0"/>
    <n v="234943200"/>
    <n v="81030"/>
    <n v="0"/>
    <n v="3268210.0000000009"/>
    <n v="3322230"/>
    <n v="2052760.0000000002"/>
    <n v="0"/>
    <n v="217322460"/>
    <x v="0"/>
    <n v="-42"/>
    <n v="0"/>
    <n v="0"/>
    <n v="0"/>
  </r>
  <r>
    <n v="1133"/>
    <x v="6"/>
    <s v="P9299382"/>
    <s v="58952 SSMI SP ED 340 EXHILARATOR"/>
    <x v="3"/>
    <n v="87600"/>
    <n v="2555.666666666687"/>
    <n v="3395"/>
    <n v="2928.3333333333339"/>
    <n v="7844"/>
    <n v="0"/>
    <n v="138"/>
    <n v="0"/>
    <n v="138"/>
    <n v="2664"/>
    <n v="126"/>
    <n v="90"/>
    <n v="7844"/>
    <n v="80.359704040978926"/>
    <n v="4198.0000000000018"/>
    <n v="2664"/>
    <n v="4198.0000000000018"/>
    <n v="3600"/>
    <n v="83.873648264086498"/>
    <n v="315360000"/>
    <n v="223876400.00000179"/>
    <n v="297402000"/>
    <n v="256522000.00000006"/>
    <n v="12088800"/>
    <n v="687134400"/>
    <n v="81030"/>
    <n v="291708000"/>
    <n v="207085670.00000164"/>
    <n v="275096850"/>
    <n v="237282850.00000006"/>
    <n v="11182140"/>
    <n v="635599320"/>
    <x v="0"/>
    <n v="936"/>
    <n v="0"/>
    <n v="0"/>
    <n v="0"/>
  </r>
  <r>
    <n v="1134"/>
    <x v="6"/>
    <s v="P9299389"/>
    <s v="27496 GAR COLNAT 4 COKLAT"/>
    <x v="2"/>
    <n v="49700"/>
    <n v="8"/>
    <n v="10"/>
    <n v="11.333333333333334"/>
    <n v="72"/>
    <n v="0"/>
    <n v="0"/>
    <n v="0"/>
    <n v="0"/>
    <n v="0"/>
    <n v="96"/>
    <n v="90"/>
    <n v="72"/>
    <n v="190.58823529411762"/>
    <n v="0"/>
    <n v="0"/>
    <n v="0"/>
    <n v="0"/>
    <n v="164.11764705882354"/>
    <n v="0"/>
    <n v="397600"/>
    <n v="497000"/>
    <n v="563266.66666666674"/>
    <n v="0"/>
    <n v="3578400"/>
    <n v="45973"/>
    <n v="0"/>
    <n v="367784"/>
    <n v="459730"/>
    <n v="521027.33333333337"/>
    <n v="0"/>
    <n v="3310056"/>
    <x v="0"/>
    <n v="0"/>
    <n v="0"/>
    <n v="0"/>
    <n v="0"/>
  </r>
  <r>
    <n v="1135"/>
    <x v="6"/>
    <s v="P9299390"/>
    <s v="27472 GAR COLNAT 3 DARK BROWN"/>
    <x v="3"/>
    <n v="49700"/>
    <n v="2"/>
    <n v="45"/>
    <n v="17"/>
    <n v="0"/>
    <n v="0"/>
    <n v="0"/>
    <n v="0"/>
    <n v="0"/>
    <n v="0"/>
    <n v="96"/>
    <n v="90"/>
    <n v="0"/>
    <n v="0"/>
    <n v="96"/>
    <n v="0"/>
    <n v="96"/>
    <n v="96"/>
    <n v="90"/>
    <n v="4771200"/>
    <n v="99400"/>
    <n v="2236500"/>
    <n v="844900"/>
    <n v="0"/>
    <n v="0"/>
    <n v="45973"/>
    <n v="4413408"/>
    <n v="91946"/>
    <n v="2068785"/>
    <n v="781541"/>
    <n v="0"/>
    <n v="0"/>
    <x v="0"/>
    <n v="96"/>
    <n v="0"/>
    <n v="0"/>
    <n v="0"/>
  </r>
  <r>
    <n v="1136"/>
    <x v="6"/>
    <s v="P9299392"/>
    <s v="39611 GAR COLNAT 6.26 PLUM RED SACH"/>
    <x v="1"/>
    <n v="15800"/>
    <n v="766"/>
    <n v="353"/>
    <n v="513.66666666666663"/>
    <n v="4236"/>
    <n v="0"/>
    <n v="0"/>
    <n v="0"/>
    <n v="0"/>
    <n v="0"/>
    <n v="96"/>
    <n v="90"/>
    <n v="4236"/>
    <n v="247.39779364049321"/>
    <n v="0"/>
    <n v="0"/>
    <n v="0"/>
    <n v="0"/>
    <n v="226.78131083711875"/>
    <n v="0"/>
    <n v="12102800"/>
    <n v="5577400"/>
    <n v="8115933.333333333"/>
    <n v="0"/>
    <n v="66928800"/>
    <n v="14615"/>
    <n v="0"/>
    <n v="11195090"/>
    <n v="5159095"/>
    <n v="7507238.333333333"/>
    <n v="0"/>
    <n v="61909140"/>
    <x v="0"/>
    <n v="0"/>
    <n v="0"/>
    <n v="0"/>
    <n v="0"/>
  </r>
  <r>
    <n v="1137"/>
    <x v="6"/>
    <s v="P9299394"/>
    <s v="27489 GAR COLNAT 3.16 MRH BURGUNDY"/>
    <x v="2"/>
    <n v="49700"/>
    <n v="0"/>
    <n v="0"/>
    <n v="0"/>
    <n v="60"/>
    <n v="0"/>
    <n v="0"/>
    <n v="0"/>
    <n v="0"/>
    <n v="0"/>
    <n v="12"/>
    <n v="90"/>
    <n v="60"/>
    <n v="9999"/>
    <n v="0"/>
    <n v="0"/>
    <n v="0"/>
    <n v="0"/>
    <n v="9999"/>
    <n v="0"/>
    <n v="0"/>
    <n v="0"/>
    <n v="0"/>
    <n v="0"/>
    <n v="2982000"/>
    <n v="45973"/>
    <n v="0"/>
    <n v="0"/>
    <n v="0"/>
    <n v="0"/>
    <n v="0"/>
    <n v="2758380"/>
    <x v="0"/>
    <n v="0"/>
    <n v="0"/>
    <n v="0"/>
    <n v="0"/>
  </r>
  <r>
    <n v="1138"/>
    <x v="6"/>
    <s v="P9299395"/>
    <s v="38560 GAR COLNAT 6.64 MERAH BERRY"/>
    <x v="1"/>
    <n v="49700"/>
    <n v="0"/>
    <n v="0"/>
    <n v="0"/>
    <n v="0"/>
    <n v="0"/>
    <n v="0"/>
    <n v="0"/>
    <n v="0"/>
    <n v="0"/>
    <n v="48"/>
    <n v="90"/>
    <n v="0"/>
    <n v="0"/>
    <n v="0"/>
    <n v="0"/>
    <n v="0"/>
    <n v="0"/>
    <n v="0"/>
    <n v="0"/>
    <n v="0"/>
    <n v="0"/>
    <n v="0"/>
    <n v="0"/>
    <n v="0"/>
    <n v="45973"/>
    <n v="0"/>
    <n v="0"/>
    <n v="0"/>
    <n v="0"/>
    <n v="0"/>
    <n v="0"/>
    <x v="0"/>
    <n v="0"/>
    <n v="0"/>
    <n v="0"/>
    <n v="0"/>
  </r>
  <r>
    <n v="1139"/>
    <x v="6"/>
    <s v="P9299405"/>
    <s v="01187 GAR SAKURA GLOW FW 6SACH @9ML"/>
    <x v="1"/>
    <n v="27600"/>
    <n v="0"/>
    <n v="0"/>
    <n v="0"/>
    <n v="0"/>
    <n v="0"/>
    <n v="0"/>
    <n v="0"/>
    <n v="0"/>
    <n v="0"/>
    <n v="300"/>
    <n v="90"/>
    <n v="0"/>
    <n v="0"/>
    <n v="0"/>
    <n v="0"/>
    <n v="0"/>
    <n v="0"/>
    <n v="0"/>
    <n v="0"/>
    <n v="0"/>
    <n v="0"/>
    <n v="0"/>
    <n v="0"/>
    <n v="0"/>
    <n v="25530"/>
    <n v="0"/>
    <n v="0"/>
    <n v="0"/>
    <n v="0"/>
    <n v="0"/>
    <n v="0"/>
    <x v="0"/>
    <n v="0"/>
    <n v="0"/>
    <n v="0"/>
    <n v="0"/>
  </r>
  <r>
    <n v="1140"/>
    <x v="6"/>
    <s v="P9299418"/>
    <s v="70958 LOR INF MAT RES 601 WORTH IT"/>
    <x v="1"/>
    <n v="98600"/>
    <n v="255.0000000000006"/>
    <n v="197"/>
    <n v="227.33333333333331"/>
    <n v="758"/>
    <n v="0"/>
    <n v="0"/>
    <n v="0"/>
    <n v="0"/>
    <n v="303"/>
    <n v="126"/>
    <n v="90"/>
    <n v="758"/>
    <n v="100.02932551319648"/>
    <n v="121"/>
    <n v="303"/>
    <n v="303"/>
    <n v="0"/>
    <n v="74.032258064516128"/>
    <n v="0"/>
    <n v="25143000.00000006"/>
    <n v="19424200"/>
    <n v="22415066.666666664"/>
    <n v="0"/>
    <n v="74738800"/>
    <n v="91205"/>
    <n v="0"/>
    <n v="23257275.000000056"/>
    <n v="17967385"/>
    <n v="20733936.666666664"/>
    <n v="0"/>
    <n v="69133390"/>
    <x v="0"/>
    <n v="-303"/>
    <n v="0"/>
    <n v="0"/>
    <n v="0"/>
  </r>
  <r>
    <n v="1141"/>
    <x v="6"/>
    <s v="P9299419"/>
    <s v="70965 LOR INF MAT RES 625 SUM FLING"/>
    <x v="1"/>
    <n v="98600"/>
    <n v="191.3333333333334"/>
    <n v="91"/>
    <n v="147.66666666666666"/>
    <n v="630"/>
    <n v="0"/>
    <n v="27"/>
    <n v="0"/>
    <n v="27"/>
    <n v="189"/>
    <n v="126"/>
    <n v="90"/>
    <n v="630"/>
    <n v="127.99097065462755"/>
    <n v="0"/>
    <n v="189"/>
    <n v="189"/>
    <n v="0"/>
    <n v="114.98871331828443"/>
    <n v="0"/>
    <n v="18865466.666666672"/>
    <n v="8972600"/>
    <n v="14559933.333333332"/>
    <n v="2662200"/>
    <n v="62118000"/>
    <n v="91205"/>
    <n v="0"/>
    <n v="17450556.666666672"/>
    <n v="8299655"/>
    <n v="13467938.333333332"/>
    <n v="2462535"/>
    <n v="57459150"/>
    <x v="0"/>
    <n v="-189"/>
    <n v="0"/>
    <n v="0"/>
    <n v="0"/>
  </r>
  <r>
    <n v="1142"/>
    <x v="6"/>
    <s v="P9299420"/>
    <s v="70972 LOR INF MAT RES 630 ROSE HEAT"/>
    <x v="1"/>
    <n v="98600"/>
    <n v="486.99999999999955"/>
    <n v="285"/>
    <n v="387.66666666666663"/>
    <n v="1822"/>
    <n v="0"/>
    <n v="75"/>
    <n v="0"/>
    <n v="75"/>
    <n v="537"/>
    <n v="126"/>
    <n v="90"/>
    <n v="1822"/>
    <n v="140.99742046431643"/>
    <n v="0"/>
    <n v="537"/>
    <n v="537"/>
    <n v="0"/>
    <n v="124.74634565778162"/>
    <n v="0"/>
    <n v="48018199.999999955"/>
    <n v="28101000"/>
    <n v="38223933.333333328"/>
    <n v="7395000"/>
    <n v="179649200"/>
    <n v="91205"/>
    <n v="0"/>
    <n v="44416834.999999955"/>
    <n v="25993425"/>
    <n v="35357138.333333328"/>
    <n v="6840375"/>
    <n v="166175510"/>
    <x v="0"/>
    <n v="-537"/>
    <n v="0"/>
    <n v="0"/>
    <n v="0"/>
  </r>
  <r>
    <n v="1143"/>
    <x v="6"/>
    <s v="P9299421"/>
    <s v="70989 LORINF MATRES 635 WORTHIT MED"/>
    <x v="1"/>
    <n v="98600"/>
    <n v="333.99999999999943"/>
    <n v="253"/>
    <n v="291.33333333333326"/>
    <n v="792"/>
    <n v="0"/>
    <n v="0"/>
    <n v="0"/>
    <n v="0"/>
    <n v="201"/>
    <n v="126"/>
    <n v="90"/>
    <n v="792"/>
    <n v="81.556064073226565"/>
    <n v="334.99999999999977"/>
    <n v="201"/>
    <n v="334.99999999999977"/>
    <n v="0"/>
    <n v="55.503432494279195"/>
    <n v="0"/>
    <n v="32932399.999999944"/>
    <n v="24945800"/>
    <n v="28725466.66666666"/>
    <n v="0"/>
    <n v="78091200"/>
    <n v="91205"/>
    <n v="0"/>
    <n v="30462469.999999948"/>
    <n v="23074865"/>
    <n v="26571056.66666666"/>
    <n v="0"/>
    <n v="72234360"/>
    <x v="0"/>
    <n v="-201"/>
    <n v="0"/>
    <n v="0"/>
    <n v="0"/>
  </r>
  <r>
    <n v="1144"/>
    <x v="6"/>
    <s v="P9299422"/>
    <s v="71009 LOR INF MAT RES 665 FIRSTMOVE"/>
    <x v="1"/>
    <n v="98600"/>
    <n v="49.000000000000071"/>
    <n v="23"/>
    <n v="40.999999999999993"/>
    <n v="1005"/>
    <n v="0"/>
    <n v="249"/>
    <n v="0"/>
    <n v="249"/>
    <n v="9"/>
    <n v="126"/>
    <n v="90"/>
    <n v="1005"/>
    <n v="735.36585365853671"/>
    <n v="0"/>
    <n v="9"/>
    <n v="0"/>
    <n v="0"/>
    <n v="900.73170731707341"/>
    <n v="0"/>
    <n v="4831400.0000000075"/>
    <n v="2267800"/>
    <n v="4042599.9999999991"/>
    <n v="24551400"/>
    <n v="99093000"/>
    <n v="91205"/>
    <n v="0"/>
    <n v="4469045.0000000065"/>
    <n v="2097715"/>
    <n v="3739404.9999999995"/>
    <n v="22710045"/>
    <n v="91661025"/>
    <x v="0"/>
    <n v="-9"/>
    <n v="0"/>
    <n v="0"/>
    <n v="0"/>
  </r>
  <r>
    <n v="1145"/>
    <x v="6"/>
    <s v="P9299424"/>
    <s v="53510 IAR ERASER CONCEALER 120"/>
    <x v="1"/>
    <n v="101300"/>
    <n v="9.6666666666666696"/>
    <n v="7"/>
    <n v="7"/>
    <n v="54"/>
    <n v="0"/>
    <n v="6"/>
    <n v="0"/>
    <n v="6"/>
    <n v="6"/>
    <n v="96"/>
    <n v="90"/>
    <n v="54"/>
    <n v="231.42857142857144"/>
    <n v="0"/>
    <n v="6"/>
    <n v="0"/>
    <n v="0"/>
    <n v="227.14285714285714"/>
    <n v="0"/>
    <n v="979233.3333333336"/>
    <n v="709100"/>
    <n v="709100"/>
    <n v="607800"/>
    <n v="5470200"/>
    <n v="93703"/>
    <n v="0"/>
    <n v="905795.66666666698"/>
    <n v="655921"/>
    <n v="655921"/>
    <n v="562218"/>
    <n v="5059962"/>
    <x v="0"/>
    <n v="-6"/>
    <n v="0"/>
    <n v="0"/>
    <n v="0"/>
  </r>
  <r>
    <n v="1146"/>
    <x v="6"/>
    <s v="P9299425"/>
    <s v="53527 IAR ERASER CONCEALER 122"/>
    <x v="1"/>
    <n v="101300"/>
    <n v="4.3333333333333304"/>
    <n v="4"/>
    <n v="3.333333333333333"/>
    <n v="160"/>
    <n v="0"/>
    <n v="0"/>
    <n v="0"/>
    <n v="0"/>
    <n v="3"/>
    <n v="96"/>
    <n v="90"/>
    <n v="160"/>
    <n v="1440.0000000000002"/>
    <n v="0"/>
    <n v="3"/>
    <n v="0"/>
    <n v="0"/>
    <n v="1404.0000000000002"/>
    <n v="0"/>
    <n v="438966.6666666664"/>
    <n v="405200"/>
    <n v="337666.66666666663"/>
    <n v="0"/>
    <n v="16208000"/>
    <n v="93703"/>
    <n v="0"/>
    <n v="406046.33333333308"/>
    <n v="374812"/>
    <n v="312343.33333333331"/>
    <n v="0"/>
    <n v="14992480"/>
    <x v="0"/>
    <n v="-3"/>
    <n v="0"/>
    <n v="0"/>
    <n v="0"/>
  </r>
  <r>
    <n v="1147"/>
    <x v="6"/>
    <s v="P9299426"/>
    <s v="53534 IAR ERASER CONCEALER 130"/>
    <x v="1"/>
    <n v="101300"/>
    <n v="5"/>
    <n v="3"/>
    <n v="3.9999999999999996"/>
    <n v="171"/>
    <n v="0"/>
    <n v="0"/>
    <n v="0"/>
    <n v="0"/>
    <n v="0"/>
    <n v="96"/>
    <n v="90"/>
    <n v="171"/>
    <n v="1282.5000000000002"/>
    <n v="0"/>
    <n v="0"/>
    <n v="0"/>
    <n v="0"/>
    <n v="1260.0000000000002"/>
    <n v="0"/>
    <n v="506500"/>
    <n v="303900"/>
    <n v="405199.99999999994"/>
    <n v="0"/>
    <n v="17322300"/>
    <n v="93703"/>
    <n v="0"/>
    <n v="468515"/>
    <n v="281109"/>
    <n v="374811.99999999994"/>
    <n v="0"/>
    <n v="16023213"/>
    <x v="0"/>
    <n v="0"/>
    <n v="0"/>
    <n v="0"/>
    <n v="0"/>
  </r>
  <r>
    <n v="1148"/>
    <x v="6"/>
    <s v="P9299428"/>
    <s v="53596 IAR ERASER CONCEALER 150"/>
    <x v="1"/>
    <n v="101300"/>
    <n v="5"/>
    <n v="1"/>
    <n v="3.333333333333333"/>
    <n v="113"/>
    <n v="0"/>
    <n v="0"/>
    <n v="0"/>
    <n v="0"/>
    <n v="0"/>
    <n v="96"/>
    <n v="90"/>
    <n v="113"/>
    <n v="1017.0000000000002"/>
    <n v="0"/>
    <n v="0"/>
    <n v="0"/>
    <n v="0"/>
    <n v="1008"/>
    <n v="0"/>
    <n v="506500"/>
    <n v="101300"/>
    <n v="337666.66666666663"/>
    <n v="0"/>
    <n v="11446900"/>
    <n v="93703"/>
    <n v="0"/>
    <n v="468515"/>
    <n v="93703"/>
    <n v="312343.33333333331"/>
    <n v="0"/>
    <n v="10588439"/>
    <x v="0"/>
    <n v="0"/>
    <n v="0"/>
    <n v="0"/>
    <n v="0"/>
  </r>
  <r>
    <n v="1149"/>
    <x v="6"/>
    <s v="P9299429"/>
    <s v="25664 GAR BRIGHT VIT C WTRGEL 50ML"/>
    <x v="2"/>
    <n v="75000"/>
    <n v="10"/>
    <n v="3"/>
    <n v="11"/>
    <n v="80"/>
    <n v="0"/>
    <n v="0"/>
    <n v="0"/>
    <n v="0"/>
    <n v="0"/>
    <n v="12"/>
    <n v="90"/>
    <n v="80"/>
    <n v="218.18181818181819"/>
    <n v="0"/>
    <n v="0"/>
    <n v="0"/>
    <n v="0"/>
    <n v="210"/>
    <n v="0"/>
    <n v="750000"/>
    <n v="225000"/>
    <n v="825000"/>
    <n v="0"/>
    <n v="6000000"/>
    <n v="69375"/>
    <n v="0"/>
    <n v="693750"/>
    <n v="208125"/>
    <n v="763125"/>
    <n v="0"/>
    <n v="5550000"/>
    <x v="0"/>
    <n v="0"/>
    <n v="0"/>
    <n v="0"/>
    <n v="0"/>
  </r>
  <r>
    <n v="1150"/>
    <x v="6"/>
    <s v="P9299430"/>
    <s v="25749 GAR BRIGHT VIT C WTRGEL 20ML"/>
    <x v="2"/>
    <n v="29100"/>
    <n v="3"/>
    <n v="18"/>
    <n v="8"/>
    <n v="61"/>
    <n v="0"/>
    <n v="0"/>
    <n v="0"/>
    <n v="0"/>
    <n v="0"/>
    <n v="24"/>
    <n v="90"/>
    <n v="61"/>
    <n v="228.75"/>
    <n v="0"/>
    <n v="0"/>
    <n v="0"/>
    <n v="0"/>
    <n v="161.25"/>
    <n v="0"/>
    <n v="87300"/>
    <n v="523800"/>
    <n v="232800"/>
    <n v="0"/>
    <n v="1775100"/>
    <n v="26918"/>
    <n v="0"/>
    <n v="80754"/>
    <n v="484524"/>
    <n v="215344"/>
    <n v="0"/>
    <n v="1641998"/>
    <x v="0"/>
    <n v="0"/>
    <n v="0"/>
    <n v="0"/>
    <n v="0"/>
  </r>
  <r>
    <n v="1151"/>
    <x v="6"/>
    <s v="P9299431"/>
    <s v="25107 GAR SAKURA CERAMIDE GEL 50ML"/>
    <x v="1"/>
    <n v="75000"/>
    <n v="0"/>
    <n v="0"/>
    <n v="0"/>
    <n v="144"/>
    <n v="0"/>
    <n v="0"/>
    <n v="0"/>
    <n v="0"/>
    <n v="0"/>
    <n v="12"/>
    <n v="90"/>
    <n v="144"/>
    <n v="9999"/>
    <n v="0"/>
    <n v="0"/>
    <n v="0"/>
    <n v="0"/>
    <n v="9999"/>
    <n v="0"/>
    <n v="0"/>
    <n v="0"/>
    <n v="0"/>
    <n v="0"/>
    <n v="10800000"/>
    <n v="69375"/>
    <n v="0"/>
    <n v="0"/>
    <n v="0"/>
    <n v="0"/>
    <n v="0"/>
    <n v="9990000"/>
    <x v="0"/>
    <n v="0"/>
    <n v="0"/>
    <n v="0"/>
    <n v="0"/>
  </r>
  <r>
    <n v="1152"/>
    <x v="6"/>
    <s v="P9299432"/>
    <s v="25183 GAR SAKURA CERAMIDE GEL 20ML"/>
    <x v="1"/>
    <n v="29100"/>
    <n v="2.6666666666666998"/>
    <n v="3"/>
    <n v="1.6666666666666667"/>
    <n v="69"/>
    <n v="0"/>
    <n v="0"/>
    <n v="0"/>
    <n v="0"/>
    <n v="0"/>
    <n v="24"/>
    <n v="90"/>
    <n v="69"/>
    <n v="1242"/>
    <n v="0"/>
    <n v="0"/>
    <n v="0"/>
    <n v="0"/>
    <n v="1188"/>
    <n v="0"/>
    <n v="77600.00000000096"/>
    <n v="87300"/>
    <n v="48500"/>
    <n v="0"/>
    <n v="2007900"/>
    <n v="26918"/>
    <n v="0"/>
    <n v="71781.333333334231"/>
    <n v="80754"/>
    <n v="44863.333333333336"/>
    <n v="0"/>
    <n v="1857342"/>
    <x v="0"/>
    <n v="0"/>
    <n v="0"/>
    <n v="0"/>
    <n v="0"/>
  </r>
  <r>
    <n v="1153"/>
    <x v="6"/>
    <s v="P9299448"/>
    <s v="70033 SS LUMI MATTE FDT 110 35ML"/>
    <x v="1"/>
    <n v="97700"/>
    <n v="141.3333333333334"/>
    <n v="78"/>
    <n v="120.66666666666667"/>
    <n v="311"/>
    <n v="0"/>
    <n v="24"/>
    <n v="0"/>
    <n v="24"/>
    <n v="144"/>
    <n v="24"/>
    <n v="90"/>
    <n v="311"/>
    <n v="77.320441988950279"/>
    <n v="105"/>
    <n v="144"/>
    <n v="144"/>
    <n v="0"/>
    <n v="63.895027624309392"/>
    <n v="0"/>
    <n v="13808266.666666673"/>
    <n v="7620600"/>
    <n v="11789133.333333334"/>
    <n v="2344800"/>
    <n v="30384700"/>
    <n v="90373"/>
    <n v="0"/>
    <n v="12772717.33333334"/>
    <n v="7049094"/>
    <n v="10905008.666666668"/>
    <n v="2168952"/>
    <n v="28106003"/>
    <x v="0"/>
    <n v="-144"/>
    <n v="0"/>
    <n v="0"/>
    <n v="0"/>
  </r>
  <r>
    <n v="1154"/>
    <x v="6"/>
    <s v="P9299449"/>
    <s v="70040 SS LUMI MATTE FDT 111 35ML"/>
    <x v="1"/>
    <n v="97700"/>
    <n v="182.66666666666669"/>
    <n v="70"/>
    <n v="185.33333333333331"/>
    <n v="203"/>
    <n v="0"/>
    <n v="0"/>
    <n v="0"/>
    <n v="0"/>
    <n v="270"/>
    <n v="24"/>
    <n v="90"/>
    <n v="203"/>
    <n v="32.859712230215827"/>
    <n v="423"/>
    <n v="270"/>
    <n v="423"/>
    <n v="0"/>
    <n v="21.52877697841727"/>
    <n v="0"/>
    <n v="17846533.333333336"/>
    <n v="6839000"/>
    <n v="18107066.666666664"/>
    <n v="0"/>
    <n v="19833100"/>
    <n v="90373"/>
    <n v="0"/>
    <n v="16508134.666666668"/>
    <n v="6326110"/>
    <n v="16749129.333333332"/>
    <n v="0"/>
    <n v="18345719"/>
    <x v="0"/>
    <n v="-270"/>
    <n v="0"/>
    <n v="0"/>
    <n v="0"/>
  </r>
  <r>
    <n v="1155"/>
    <x v="6"/>
    <s v="P9299450"/>
    <s v="70057 SS LUMI MATTE FDT 115 35ML"/>
    <x v="1"/>
    <n v="97700"/>
    <n v="225.0000000000002"/>
    <n v="136"/>
    <n v="196.99999999999997"/>
    <n v="377"/>
    <n v="0"/>
    <n v="24"/>
    <n v="0"/>
    <n v="18"/>
    <n v="240"/>
    <n v="24"/>
    <n v="90"/>
    <n v="377"/>
    <n v="57.411167512690362"/>
    <n v="331.99999999999989"/>
    <n v="246"/>
    <n v="331.99999999999989"/>
    <n v="0"/>
    <n v="39.441624365482241"/>
    <n v="0"/>
    <n v="21982500.000000019"/>
    <n v="13287200"/>
    <n v="19246899.999999996"/>
    <n v="1758600"/>
    <n v="36832900"/>
    <n v="90373"/>
    <n v="0"/>
    <n v="20333925.000000019"/>
    <n v="12290728"/>
    <n v="17803480.999999996"/>
    <n v="1626714"/>
    <n v="34070621"/>
    <x v="0"/>
    <n v="-246"/>
    <n v="0"/>
    <n v="0"/>
    <n v="0"/>
  </r>
  <r>
    <n v="1156"/>
    <x v="6"/>
    <s v="P9299451"/>
    <s v="70064 SS LUMI MATTE FDT 119 35ML"/>
    <x v="1"/>
    <n v="97700"/>
    <n v="195.66666666666632"/>
    <n v="157"/>
    <n v="179.33333333333334"/>
    <n v="229"/>
    <n v="0"/>
    <n v="27"/>
    <n v="0"/>
    <n v="27"/>
    <n v="255"/>
    <n v="24"/>
    <n v="90"/>
    <n v="229"/>
    <n v="38.308550185873607"/>
    <n v="439"/>
    <n v="255"/>
    <n v="439"/>
    <n v="0"/>
    <n v="16.561338289962823"/>
    <n v="0"/>
    <n v="19116633.333333299"/>
    <n v="15338900"/>
    <n v="17520866.666666668"/>
    <n v="2637900"/>
    <n v="22373300"/>
    <n v="90373"/>
    <n v="0"/>
    <n v="17682983.666666634"/>
    <n v="14188561"/>
    <n v="16206891.333333334"/>
    <n v="2440071"/>
    <n v="20695417"/>
    <x v="0"/>
    <n v="-255"/>
    <n v="0"/>
    <n v="0"/>
    <n v="0"/>
  </r>
  <r>
    <n v="1157"/>
    <x v="6"/>
    <s v="P9299452"/>
    <s v="70071 SS LUMI MATTE FDT 120 35ML"/>
    <x v="1"/>
    <n v="97700"/>
    <n v="407.33333333333405"/>
    <n v="306"/>
    <n v="379.33333333333337"/>
    <n v="505"/>
    <n v="0"/>
    <n v="0"/>
    <n v="0"/>
    <n v="0"/>
    <n v="339"/>
    <n v="24"/>
    <n v="90"/>
    <n v="505"/>
    <n v="39.938488576449906"/>
    <n v="939"/>
    <n v="339"/>
    <n v="939"/>
    <n v="0"/>
    <n v="15.738137082601053"/>
    <n v="0"/>
    <n v="39796466.666666739"/>
    <n v="29896200"/>
    <n v="37060866.666666672"/>
    <n v="0"/>
    <n v="49338500"/>
    <n v="90373"/>
    <n v="0"/>
    <n v="36811935.333333395"/>
    <n v="27654138"/>
    <n v="34281491.333333336"/>
    <n v="0"/>
    <n v="45638365"/>
    <x v="0"/>
    <n v="-339"/>
    <n v="0"/>
    <n v="0"/>
    <n v="0"/>
  </r>
  <r>
    <n v="1158"/>
    <x v="6"/>
    <s v="P9299453"/>
    <s v="70095 SS LUMI MATTE FDT 123 35ML"/>
    <x v="1"/>
    <n v="97700"/>
    <n v="85.333333333333002"/>
    <n v="33"/>
    <n v="81.666666666666657"/>
    <n v="353"/>
    <n v="0"/>
    <n v="9"/>
    <n v="0"/>
    <n v="9"/>
    <n v="69"/>
    <n v="24"/>
    <n v="90"/>
    <n v="353"/>
    <n v="129.67346938775512"/>
    <n v="0"/>
    <n v="69"/>
    <n v="0"/>
    <n v="0"/>
    <n v="120.85714285714288"/>
    <n v="0"/>
    <n v="8337066.6666666344"/>
    <n v="3224100"/>
    <n v="7978833.3333333321"/>
    <n v="879300"/>
    <n v="34488100"/>
    <n v="90373"/>
    <n v="0"/>
    <n v="7711829.3333333032"/>
    <n v="2982309"/>
    <n v="7380461.666666666"/>
    <n v="813357"/>
    <n v="31901669"/>
    <x v="0"/>
    <n v="-69"/>
    <n v="0"/>
    <n v="0"/>
    <n v="0"/>
  </r>
  <r>
    <n v="1159"/>
    <x v="6"/>
    <s v="P9299454"/>
    <s v="70101 SS LUMI MATTE FDT 125 35ML"/>
    <x v="1"/>
    <n v="97700"/>
    <n v="118.333333333333"/>
    <n v="64"/>
    <n v="94.666666666666671"/>
    <n v="318"/>
    <n v="0"/>
    <n v="0"/>
    <n v="0"/>
    <n v="0"/>
    <n v="54"/>
    <n v="24"/>
    <n v="90"/>
    <n v="318"/>
    <n v="100.77464788732394"/>
    <n v="30"/>
    <n v="54"/>
    <n v="54"/>
    <n v="0"/>
    <n v="80.492957746478865"/>
    <n v="0"/>
    <n v="11561166.666666634"/>
    <n v="6252800"/>
    <n v="9248933.333333334"/>
    <n v="0"/>
    <n v="31068600"/>
    <n v="90373"/>
    <n v="0"/>
    <n v="10694138.333333304"/>
    <n v="5783872"/>
    <n v="8555310.6666666679"/>
    <n v="0"/>
    <n v="28738614"/>
    <x v="0"/>
    <n v="-54"/>
    <n v="0"/>
    <n v="0"/>
    <n v="0"/>
  </r>
  <r>
    <n v="1160"/>
    <x v="6"/>
    <s v="P9299455"/>
    <s v="70118 SS LUMI MATTE FDT 128 35ML"/>
    <x v="1"/>
    <n v="97700"/>
    <n v="280.00000000000028"/>
    <n v="218"/>
    <n v="250.66666666666666"/>
    <n v="501"/>
    <n v="0"/>
    <n v="6"/>
    <n v="0"/>
    <n v="6"/>
    <n v="192"/>
    <n v="24"/>
    <n v="90"/>
    <n v="501"/>
    <n v="59.960106382978722"/>
    <n v="463"/>
    <n v="192"/>
    <n v="463"/>
    <n v="0"/>
    <n v="34.587765957446813"/>
    <n v="0"/>
    <n v="27356000.000000026"/>
    <n v="21298600"/>
    <n v="24490133.333333332"/>
    <n v="586200"/>
    <n v="48947700"/>
    <n v="90373"/>
    <n v="0"/>
    <n v="25304440.000000026"/>
    <n v="19701314"/>
    <n v="22653498.666666664"/>
    <n v="542238"/>
    <n v="45276873"/>
    <x v="0"/>
    <n v="-192"/>
    <n v="0"/>
    <n v="0"/>
    <n v="0"/>
  </r>
  <r>
    <n v="1161"/>
    <x v="6"/>
    <s v="P9299456"/>
    <s v="70156 SS LUMI MATTE FDT 220 35ML"/>
    <x v="1"/>
    <n v="97700"/>
    <n v="158.33333333333348"/>
    <n v="80"/>
    <n v="145.66666666666669"/>
    <n v="311"/>
    <n v="0"/>
    <n v="0"/>
    <n v="0"/>
    <n v="0"/>
    <n v="159"/>
    <n v="24"/>
    <n v="90"/>
    <n v="311"/>
    <n v="64.050343249427911"/>
    <n v="206"/>
    <n v="159"/>
    <n v="206"/>
    <n v="0"/>
    <n v="47.574370709382151"/>
    <n v="0"/>
    <n v="15469166.666666681"/>
    <n v="7816000"/>
    <n v="14231633.333333336"/>
    <n v="0"/>
    <n v="30384700"/>
    <n v="90373"/>
    <n v="0"/>
    <n v="14309058.333333347"/>
    <n v="7229840"/>
    <n v="13164333.666666668"/>
    <n v="0"/>
    <n v="28106003"/>
    <x v="0"/>
    <n v="-159"/>
    <n v="0"/>
    <n v="0"/>
    <n v="0"/>
  </r>
  <r>
    <n v="1162"/>
    <x v="6"/>
    <s v="P9299457"/>
    <s v="70163 SS LUMI MATTE FDT 228 35ML"/>
    <x v="1"/>
    <n v="97700"/>
    <n v="23.6666666666666"/>
    <n v="11"/>
    <n v="19"/>
    <n v="649"/>
    <n v="0"/>
    <n v="0"/>
    <n v="0"/>
    <n v="0"/>
    <n v="33"/>
    <n v="24"/>
    <n v="90"/>
    <n v="649"/>
    <n v="1024.7368421052631"/>
    <n v="0"/>
    <n v="33"/>
    <n v="0"/>
    <n v="0"/>
    <n v="1007.3684210526317"/>
    <n v="0"/>
    <n v="2312233.333333327"/>
    <n v="1074700"/>
    <n v="1856300"/>
    <n v="0"/>
    <n v="63407300"/>
    <n v="90373"/>
    <n v="0"/>
    <n v="2138827.6666666605"/>
    <n v="994103"/>
    <n v="1717087"/>
    <n v="0"/>
    <n v="58652077"/>
    <x v="0"/>
    <n v="-33"/>
    <n v="0"/>
    <n v="0"/>
    <n v="0"/>
  </r>
  <r>
    <n v="1163"/>
    <x v="6"/>
    <s v="P9299458"/>
    <s v="70170 SS LUMI MATTE FDT 230 35ML"/>
    <x v="1"/>
    <n v="97700"/>
    <n v="27.666666666666629"/>
    <n v="13"/>
    <n v="18.333333333333332"/>
    <n v="334"/>
    <n v="0"/>
    <n v="0"/>
    <n v="0"/>
    <n v="0"/>
    <n v="27"/>
    <n v="24"/>
    <n v="90"/>
    <n v="334"/>
    <n v="546.5454545454545"/>
    <n v="0"/>
    <n v="27"/>
    <n v="0"/>
    <n v="0"/>
    <n v="525.27272727272737"/>
    <n v="0"/>
    <n v="2703033.3333333298"/>
    <n v="1270100"/>
    <n v="1791166.6666666665"/>
    <n v="0"/>
    <n v="32631800"/>
    <n v="90373"/>
    <n v="0"/>
    <n v="2500319.6666666633"/>
    <n v="1174849"/>
    <n v="1656838.3333333333"/>
    <n v="0"/>
    <n v="30184582"/>
    <x v="0"/>
    <n v="-27"/>
    <n v="0"/>
    <n v="0"/>
    <n v="0"/>
  </r>
  <r>
    <n v="1164"/>
    <x v="6"/>
    <s v="P9299459"/>
    <s v="70217 SS LUMI MATTE FDT 330 35ML"/>
    <x v="1"/>
    <n v="97700"/>
    <n v="23.333333333333272"/>
    <n v="8"/>
    <n v="21.333333333333332"/>
    <n v="363"/>
    <n v="0"/>
    <n v="6"/>
    <n v="0"/>
    <n v="6"/>
    <n v="3"/>
    <n v="24"/>
    <n v="90"/>
    <n v="363"/>
    <n v="510.46875"/>
    <n v="0"/>
    <n v="3"/>
    <n v="0"/>
    <n v="0"/>
    <n v="507.65625"/>
    <n v="0"/>
    <n v="2279666.6666666605"/>
    <n v="781600"/>
    <n v="2084266.6666666665"/>
    <n v="586200"/>
    <n v="35465100"/>
    <n v="90373"/>
    <n v="0"/>
    <n v="2108703.3333333279"/>
    <n v="722984"/>
    <n v="1927957.3333333333"/>
    <n v="542238"/>
    <n v="32805399"/>
    <x v="0"/>
    <n v="-3"/>
    <n v="0"/>
    <n v="0"/>
    <n v="0"/>
  </r>
  <r>
    <n v="1165"/>
    <x v="6"/>
    <s v="P9299472"/>
    <s v="28919 GCN RADIANT BLUEBERRY SACHET"/>
    <x v="1"/>
    <n v="15800"/>
    <n v="599.33333333332996"/>
    <n v="195"/>
    <n v="76.333333333333343"/>
    <n v="4957"/>
    <n v="0"/>
    <n v="0"/>
    <n v="0"/>
    <n v="0"/>
    <n v="3"/>
    <n v="96"/>
    <n v="90"/>
    <n v="4957"/>
    <n v="1948.1659388646285"/>
    <n v="0"/>
    <n v="3"/>
    <n v="0"/>
    <n v="0"/>
    <n v="1871.5283842794756"/>
    <n v="0"/>
    <n v="9469466.6666666139"/>
    <n v="3081000"/>
    <n v="1206066.6666666667"/>
    <n v="0"/>
    <n v="78320600"/>
    <n v="14615"/>
    <n v="0"/>
    <n v="8759256.6666666176"/>
    <n v="2849925"/>
    <n v="1115611.6666666667"/>
    <n v="0"/>
    <n v="72446555"/>
    <x v="0"/>
    <n v="-3"/>
    <n v="0"/>
    <n v="0"/>
    <n v="0"/>
  </r>
  <r>
    <n v="1166"/>
    <x v="6"/>
    <s v="P9299473"/>
    <s v="31605 GCN ULTRA COOL ASH SACHET"/>
    <x v="2"/>
    <n v="15800"/>
    <n v="1406.6666666666999"/>
    <n v="944"/>
    <n v="1159.3333333333333"/>
    <n v="2275"/>
    <n v="0"/>
    <n v="0"/>
    <n v="0"/>
    <n v="0"/>
    <n v="0"/>
    <n v="96"/>
    <n v="90"/>
    <n v="2275"/>
    <n v="58.870040253018985"/>
    <n v="2147"/>
    <n v="0"/>
    <n v="2147"/>
    <n v="1200"/>
    <n v="65.494537090281781"/>
    <n v="18960000"/>
    <n v="22225333.333333857"/>
    <n v="14915200"/>
    <n v="18317466.666666664"/>
    <n v="0"/>
    <n v="35945000"/>
    <n v="14615"/>
    <n v="17538000"/>
    <n v="20558433.33333382"/>
    <n v="13796560"/>
    <n v="16943656.666666664"/>
    <n v="0"/>
    <n v="33249125"/>
    <x v="0"/>
    <n v="1200"/>
    <n v="0"/>
    <n v="0"/>
    <n v="0"/>
  </r>
  <r>
    <n v="1167"/>
    <x v="6"/>
    <s v="P9299474"/>
    <s v="70835 COL RICHE 601 WORTH IT"/>
    <x v="1"/>
    <n v="94900"/>
    <n v="6.99999999999996"/>
    <n v="27"/>
    <n v="14"/>
    <n v="925"/>
    <n v="0"/>
    <n v="30"/>
    <n v="0"/>
    <n v="30"/>
    <n v="3"/>
    <n v="99"/>
    <n v="90"/>
    <n v="925"/>
    <n v="1982.1428571428571"/>
    <n v="0"/>
    <n v="3"/>
    <n v="0"/>
    <n v="0"/>
    <n v="1988.5714285714287"/>
    <n v="0"/>
    <n v="664299.99999999616"/>
    <n v="2562300"/>
    <n v="1328600"/>
    <n v="2847000"/>
    <n v="87782500"/>
    <n v="87783"/>
    <n v="0"/>
    <n v="614480.99999999651"/>
    <n v="2370141"/>
    <n v="1228962"/>
    <n v="2633490"/>
    <n v="81199275"/>
    <x v="0"/>
    <n v="-3"/>
    <n v="0"/>
    <n v="0"/>
    <n v="0"/>
  </r>
  <r>
    <n v="1168"/>
    <x v="6"/>
    <s v="P9299475"/>
    <s v="70842 COL RICHE 520 LE NUDE DEFIANT"/>
    <x v="1"/>
    <n v="94900"/>
    <n v="6.6666666666666998"/>
    <n v="7"/>
    <n v="8"/>
    <n v="205"/>
    <n v="0"/>
    <n v="9"/>
    <n v="0"/>
    <n v="9"/>
    <n v="3"/>
    <n v="99"/>
    <n v="90"/>
    <n v="205"/>
    <n v="768.75"/>
    <n v="0"/>
    <n v="3"/>
    <n v="0"/>
    <n v="0"/>
    <n v="776.25"/>
    <n v="0"/>
    <n v="632666.66666666977"/>
    <n v="664300"/>
    <n v="759200"/>
    <n v="854100"/>
    <n v="19454500"/>
    <n v="87783"/>
    <n v="0"/>
    <n v="585220.00000000291"/>
    <n v="614481"/>
    <n v="702264"/>
    <n v="790047"/>
    <n v="17995515"/>
    <x v="0"/>
    <n v="-3"/>
    <n v="0"/>
    <n v="0"/>
    <n v="0"/>
  </r>
  <r>
    <n v="1169"/>
    <x v="6"/>
    <s v="P9299476"/>
    <s v="70859 COL RICHE 540 LE NUDE UNSTOP"/>
    <x v="1"/>
    <n v="94900"/>
    <n v="16.000000000000028"/>
    <n v="17"/>
    <n v="17"/>
    <n v="323"/>
    <n v="0"/>
    <n v="108"/>
    <n v="0"/>
    <n v="108"/>
    <n v="3"/>
    <n v="99"/>
    <n v="90"/>
    <n v="323"/>
    <n v="570"/>
    <n v="0"/>
    <n v="3"/>
    <n v="0"/>
    <n v="0"/>
    <n v="730.58823529411757"/>
    <n v="0"/>
    <n v="1518400.0000000028"/>
    <n v="1613300"/>
    <n v="1613300"/>
    <n v="10249200"/>
    <n v="30652700"/>
    <n v="87783"/>
    <n v="0"/>
    <n v="1404528.0000000026"/>
    <n v="1492311"/>
    <n v="1492311"/>
    <n v="9480564"/>
    <n v="28353909"/>
    <x v="0"/>
    <n v="-3"/>
    <n v="0"/>
    <n v="0"/>
    <n v="0"/>
  </r>
  <r>
    <n v="1170"/>
    <x v="6"/>
    <s v="P9299477"/>
    <s v="70873 COL RICHE 570 WORTH IT INTENS"/>
    <x v="1"/>
    <n v="94900"/>
    <n v="-1"/>
    <n v="24"/>
    <n v="7"/>
    <n v="875"/>
    <n v="0"/>
    <n v="246"/>
    <n v="0"/>
    <n v="246"/>
    <n v="0"/>
    <n v="99"/>
    <n v="90"/>
    <n v="875"/>
    <n v="3750"/>
    <n v="0"/>
    <n v="0"/>
    <n v="0"/>
    <n v="0"/>
    <n v="4701.4285714285716"/>
    <n v="0"/>
    <n v="-94900"/>
    <n v="2277600"/>
    <n v="664300"/>
    <n v="23345400"/>
    <n v="83037500"/>
    <n v="87783"/>
    <n v="0"/>
    <n v="-87783"/>
    <n v="2106792"/>
    <n v="614481"/>
    <n v="21594618"/>
    <n v="76810125"/>
    <x v="0"/>
    <n v="0"/>
    <n v="0"/>
    <n v="0"/>
    <n v="0"/>
  </r>
  <r>
    <n v="1171"/>
    <x v="6"/>
    <s v="P9299478"/>
    <s v="70880 COL RICHE 590 LE NUDE ASSERTV"/>
    <x v="1"/>
    <n v="94900"/>
    <n v="-1.3333333333333299"/>
    <n v="6"/>
    <n v="0.66666666666666674"/>
    <n v="1286"/>
    <n v="0"/>
    <n v="138"/>
    <n v="0"/>
    <n v="138"/>
    <n v="0"/>
    <n v="99"/>
    <n v="90"/>
    <n v="1286"/>
    <n v="9999"/>
    <n v="0"/>
    <n v="0"/>
    <n v="0"/>
    <n v="0"/>
    <n v="63809.999999999985"/>
    <n v="0"/>
    <n v="-126533.33333333301"/>
    <n v="569400"/>
    <n v="63266.666666666672"/>
    <n v="13096200"/>
    <n v="122041400"/>
    <n v="87783"/>
    <n v="0"/>
    <n v="-117043.99999999969"/>
    <n v="526698"/>
    <n v="58522.000000000007"/>
    <n v="12114054"/>
    <n v="112888938"/>
    <x v="0"/>
    <n v="0"/>
    <n v="0"/>
    <n v="0"/>
    <n v="0"/>
  </r>
  <r>
    <n v="1172"/>
    <x v="6"/>
    <s v="P9299479"/>
    <s v="71351 COL RICHE 129 I LEAD"/>
    <x v="1"/>
    <n v="94900"/>
    <n v="20.666666666666629"/>
    <n v="22"/>
    <n v="24.999999999999996"/>
    <n v="242"/>
    <n v="0"/>
    <n v="273"/>
    <n v="0"/>
    <n v="273"/>
    <n v="9"/>
    <n v="99"/>
    <n v="90"/>
    <n v="242"/>
    <n v="290.40000000000003"/>
    <n v="0"/>
    <n v="9"/>
    <n v="0"/>
    <n v="0"/>
    <n v="591.6"/>
    <n v="0"/>
    <n v="1961266.666666663"/>
    <n v="2087800"/>
    <n v="2372499.9999999995"/>
    <n v="25907700"/>
    <n v="22965800"/>
    <n v="87783"/>
    <n v="0"/>
    <n v="1814181.9999999967"/>
    <n v="1931226"/>
    <n v="2194574.9999999995"/>
    <n v="23964759"/>
    <n v="21243486"/>
    <x v="0"/>
    <n v="-9"/>
    <n v="0"/>
    <n v="0"/>
    <n v="0"/>
  </r>
  <r>
    <n v="1173"/>
    <x v="6"/>
    <s v="P9299480"/>
    <s v="71375 COL RICHE 276 LE LEATHER LIBE"/>
    <x v="1"/>
    <n v="94900"/>
    <n v="5.6666666666666696"/>
    <n v="6"/>
    <n v="5.666666666666667"/>
    <n v="188"/>
    <n v="0"/>
    <n v="0"/>
    <n v="0"/>
    <n v="0"/>
    <n v="3"/>
    <n v="99"/>
    <n v="90"/>
    <n v="188"/>
    <n v="995.29411764705867"/>
    <n v="0"/>
    <n v="3"/>
    <n v="0"/>
    <n v="0"/>
    <n v="963.52941176470586"/>
    <n v="0"/>
    <n v="537766.66666666698"/>
    <n v="569400"/>
    <n v="537766.66666666674"/>
    <n v="0"/>
    <n v="17841200"/>
    <n v="87783"/>
    <n v="0"/>
    <n v="497437.00000000023"/>
    <n v="526698"/>
    <n v="497437"/>
    <n v="0"/>
    <n v="16503204"/>
    <x v="0"/>
    <n v="-3"/>
    <n v="0"/>
    <n v="0"/>
    <n v="0"/>
  </r>
  <r>
    <n v="1174"/>
    <x v="6"/>
    <s v="P9299481"/>
    <s v="71405 COL RICHE 610 LIGHT OOLONG"/>
    <x v="1"/>
    <n v="94900"/>
    <n v="1"/>
    <n v="7"/>
    <n v="3.3333333333333335"/>
    <n v="257"/>
    <n v="0"/>
    <n v="0"/>
    <n v="0"/>
    <n v="0"/>
    <n v="0"/>
    <n v="99"/>
    <n v="90"/>
    <n v="257"/>
    <n v="2313"/>
    <n v="0"/>
    <n v="0"/>
    <n v="0"/>
    <n v="0"/>
    <n v="2250"/>
    <n v="0"/>
    <n v="94900"/>
    <n v="664300"/>
    <n v="316333.33333333337"/>
    <n v="0"/>
    <n v="24389300"/>
    <n v="87783"/>
    <n v="0"/>
    <n v="87783"/>
    <n v="614481"/>
    <n v="292610"/>
    <n v="0"/>
    <n v="22560231"/>
    <x v="0"/>
    <n v="0"/>
    <n v="0"/>
    <n v="0"/>
    <n v="0"/>
  </r>
  <r>
    <n v="1175"/>
    <x v="6"/>
    <s v="P9299482"/>
    <s v="71412 COL RICHE 611 NAKED HAWTHORN"/>
    <x v="1"/>
    <n v="94900"/>
    <n v="5"/>
    <n v="24"/>
    <n v="13.000000000000002"/>
    <n v="97"/>
    <n v="0"/>
    <n v="0"/>
    <n v="0"/>
    <n v="0"/>
    <n v="15"/>
    <n v="99"/>
    <n v="90"/>
    <n v="97"/>
    <n v="223.84615384615381"/>
    <n v="0"/>
    <n v="15"/>
    <n v="0"/>
    <n v="0"/>
    <n v="168.46153846153845"/>
    <n v="0"/>
    <n v="474500"/>
    <n v="2277600"/>
    <n v="1233700.0000000002"/>
    <n v="0"/>
    <n v="9205300"/>
    <n v="87783"/>
    <n v="0"/>
    <n v="438915"/>
    <n v="2106792"/>
    <n v="1141179.0000000002"/>
    <n v="0"/>
    <n v="8514951"/>
    <x v="0"/>
    <n v="-15"/>
    <n v="0"/>
    <n v="0"/>
    <n v="0"/>
  </r>
  <r>
    <n v="1176"/>
    <x v="6"/>
    <s v="P9299483"/>
    <s v="71429 COL RICHE 613 ICED LITCHI"/>
    <x v="1"/>
    <n v="94900"/>
    <n v="5.9999999999999698"/>
    <n v="8"/>
    <n v="7.666666666666667"/>
    <n v="183"/>
    <n v="0"/>
    <n v="0"/>
    <n v="0"/>
    <n v="0"/>
    <n v="3"/>
    <n v="99"/>
    <n v="90"/>
    <n v="183"/>
    <n v="716.08695652173913"/>
    <n v="0"/>
    <n v="3"/>
    <n v="0"/>
    <n v="0"/>
    <n v="684.78260869565213"/>
    <n v="0"/>
    <n v="569399.99999999709"/>
    <n v="759200"/>
    <n v="727566.66666666674"/>
    <n v="0"/>
    <n v="17366700"/>
    <n v="87783"/>
    <n v="0"/>
    <n v="526697.99999999732"/>
    <n v="702264"/>
    <n v="673003"/>
    <n v="0"/>
    <n v="16064289"/>
    <x v="0"/>
    <n v="-3"/>
    <n v="0"/>
    <n v="0"/>
    <n v="0"/>
  </r>
  <r>
    <n v="1177"/>
    <x v="6"/>
    <s v="P9299484"/>
    <s v="72242 SPRSTY TEDDY 15 SKINNYDIP"/>
    <x v="1"/>
    <n v="88900"/>
    <n v="4.9999999999999698"/>
    <n v="29"/>
    <n v="11"/>
    <n v="3610"/>
    <n v="0"/>
    <n v="0"/>
    <n v="0"/>
    <n v="0"/>
    <n v="27"/>
    <n v="72"/>
    <n v="90"/>
    <n v="3610"/>
    <n v="9845.454545454546"/>
    <n v="0"/>
    <n v="27"/>
    <n v="0"/>
    <n v="0"/>
    <n v="9766.363636363636"/>
    <n v="0"/>
    <n v="444499.99999999732"/>
    <n v="2578100"/>
    <n v="977900"/>
    <n v="0"/>
    <n v="320929000"/>
    <n v="82233"/>
    <n v="0"/>
    <n v="411164.9999999975"/>
    <n v="2384757"/>
    <n v="904563"/>
    <n v="0"/>
    <n v="296861130"/>
    <x v="0"/>
    <n v="-27"/>
    <n v="0"/>
    <n v="0"/>
    <n v="0"/>
  </r>
  <r>
    <n v="1178"/>
    <x v="6"/>
    <s v="P9299485"/>
    <s v="72150 SPRSTY TEDDY 25 BABY TEE"/>
    <x v="1"/>
    <n v="88900"/>
    <n v="16.3333333333334"/>
    <n v="38"/>
    <n v="16"/>
    <n v="3114"/>
    <n v="0"/>
    <n v="0"/>
    <n v="0"/>
    <n v="0"/>
    <n v="0"/>
    <n v="72"/>
    <n v="90"/>
    <n v="3114"/>
    <n v="5838.75"/>
    <n v="0"/>
    <n v="0"/>
    <n v="0"/>
    <n v="0"/>
    <n v="5767.5"/>
    <n v="0"/>
    <n v="1452033.3333333393"/>
    <n v="3378200"/>
    <n v="1422400"/>
    <n v="0"/>
    <n v="276834600"/>
    <n v="82233"/>
    <n v="0"/>
    <n v="1343139.0000000054"/>
    <n v="3124854"/>
    <n v="1315728"/>
    <n v="0"/>
    <n v="256073562"/>
    <x v="0"/>
    <n v="0"/>
    <n v="0"/>
    <n v="0"/>
    <n v="0"/>
  </r>
  <r>
    <n v="1179"/>
    <x v="6"/>
    <s v="P9299486"/>
    <s v="72181 SPRSTY TEDDY 30 COQUETTISH"/>
    <x v="1"/>
    <n v="88900"/>
    <n v="27.666666666666629"/>
    <n v="24"/>
    <n v="23.333333333333336"/>
    <n v="1616"/>
    <n v="0"/>
    <n v="0"/>
    <n v="0"/>
    <n v="0"/>
    <n v="21"/>
    <n v="72"/>
    <n v="90"/>
    <n v="1616"/>
    <n v="2077.7142857142858"/>
    <n v="0"/>
    <n v="21"/>
    <n v="0"/>
    <n v="0"/>
    <n v="2046.8571428571429"/>
    <n v="0"/>
    <n v="2459566.6666666633"/>
    <n v="2133600"/>
    <n v="2074333.3333333335"/>
    <n v="0"/>
    <n v="143662400"/>
    <n v="82233"/>
    <n v="0"/>
    <n v="2275112.9999999967"/>
    <n v="1973592"/>
    <n v="1918770.0000000002"/>
    <n v="0"/>
    <n v="132888528"/>
    <x v="0"/>
    <n v="-21"/>
    <n v="0"/>
    <n v="0"/>
    <n v="0"/>
  </r>
  <r>
    <n v="1180"/>
    <x v="6"/>
    <s v="P9299487"/>
    <s v="72198 SPRSTY TEDDY 35 JULY FOREVER"/>
    <x v="1"/>
    <n v="88900"/>
    <n v="27.333333333333357"/>
    <n v="41"/>
    <n v="27"/>
    <n v="3454"/>
    <n v="0"/>
    <n v="0"/>
    <n v="0"/>
    <n v="0"/>
    <n v="12"/>
    <n v="72"/>
    <n v="90"/>
    <n v="3454"/>
    <n v="3837.7777777777778"/>
    <n v="0"/>
    <n v="12"/>
    <n v="0"/>
    <n v="0"/>
    <n v="3792.2222222222222"/>
    <n v="0"/>
    <n v="2429933.3333333354"/>
    <n v="3644900"/>
    <n v="2400300"/>
    <n v="0"/>
    <n v="307060600"/>
    <n v="82233"/>
    <n v="0"/>
    <n v="2247702.0000000019"/>
    <n v="3371553"/>
    <n v="2220291"/>
    <n v="0"/>
    <n v="284032782"/>
    <x v="0"/>
    <n v="-12"/>
    <n v="0"/>
    <n v="0"/>
    <n v="0"/>
  </r>
  <r>
    <n v="1181"/>
    <x v="6"/>
    <s v="P9299488"/>
    <s v="72167 SPRSTY TEDDY 55 KNEEHIGH"/>
    <x v="1"/>
    <n v="88900"/>
    <n v="-32.33333333333303"/>
    <n v="4"/>
    <n v="-1.666666666666667"/>
    <n v="257"/>
    <n v="0"/>
    <n v="0"/>
    <n v="0"/>
    <n v="0"/>
    <n v="0"/>
    <n v="72"/>
    <n v="90"/>
    <n v="257"/>
    <n v="9999"/>
    <n v="0"/>
    <n v="0"/>
    <n v="0"/>
    <n v="0"/>
    <n v="9999"/>
    <n v="0"/>
    <n v="-2874433.3333333065"/>
    <n v="355600"/>
    <n v="-148166.66666666669"/>
    <n v="0"/>
    <n v="22847300"/>
    <n v="82233"/>
    <n v="0"/>
    <n v="-2658866.9999999749"/>
    <n v="328932"/>
    <n v="-137055.00000000003"/>
    <n v="0"/>
    <n v="21133881"/>
    <x v="0"/>
    <n v="0"/>
    <n v="0"/>
    <n v="0"/>
    <n v="0"/>
  </r>
  <r>
    <n v="1182"/>
    <x v="6"/>
    <s v="P9299489"/>
    <s v="72174 SPRSTY TEDDY 60 COOL GRUNGE"/>
    <x v="1"/>
    <n v="88900"/>
    <n v="14"/>
    <n v="20"/>
    <n v="15.666666666666668"/>
    <n v="1689"/>
    <n v="0"/>
    <n v="0"/>
    <n v="0"/>
    <n v="0"/>
    <n v="6"/>
    <n v="72"/>
    <n v="90"/>
    <n v="1689"/>
    <n v="3234.255319148936"/>
    <n v="0"/>
    <n v="6"/>
    <n v="0"/>
    <n v="0"/>
    <n v="3195.9574468085102"/>
    <n v="0"/>
    <n v="1244600"/>
    <n v="1778000"/>
    <n v="1392766.6666666667"/>
    <n v="0"/>
    <n v="150152100"/>
    <n v="82233"/>
    <n v="0"/>
    <n v="1151262"/>
    <n v="1644660"/>
    <n v="1288317"/>
    <n v="0"/>
    <n v="138891537"/>
    <x v="0"/>
    <n v="-6"/>
    <n v="0"/>
    <n v="0"/>
    <n v="0"/>
  </r>
  <r>
    <n v="1183"/>
    <x v="6"/>
    <s v="P9299490"/>
    <s v="72204 SPRSTY TEDDY 65 PINKIE BESTI"/>
    <x v="1"/>
    <n v="88900"/>
    <n v="30.333333333333002"/>
    <n v="31"/>
    <n v="30.666666666666664"/>
    <n v="1449"/>
    <n v="0"/>
    <n v="0"/>
    <n v="0"/>
    <n v="0"/>
    <n v="3"/>
    <n v="72"/>
    <n v="90"/>
    <n v="1449"/>
    <n v="1417.5000000000002"/>
    <n v="0"/>
    <n v="3"/>
    <n v="0"/>
    <n v="0"/>
    <n v="1387.1739130434783"/>
    <n v="0"/>
    <n v="2696633.3333333037"/>
    <n v="2755900"/>
    <n v="2726266.6666666665"/>
    <n v="0"/>
    <n v="128816100"/>
    <n v="82233"/>
    <n v="0"/>
    <n v="2494400.9999999725"/>
    <n v="2549223"/>
    <n v="2521812"/>
    <n v="0"/>
    <n v="119155617"/>
    <x v="0"/>
    <n v="-3"/>
    <n v="0"/>
    <n v="0"/>
    <n v="0"/>
  </r>
  <r>
    <n v="1184"/>
    <x v="6"/>
    <s v="P9299491"/>
    <s v="72211 SPRSTY TEDDY 70 THE A+"/>
    <x v="1"/>
    <n v="88900"/>
    <n v="-3.6666666666669308"/>
    <n v="23"/>
    <n v="8.3333333333333321"/>
    <n v="2138"/>
    <n v="0"/>
    <n v="0"/>
    <n v="0"/>
    <n v="0"/>
    <n v="0"/>
    <n v="72"/>
    <n v="90"/>
    <n v="2138"/>
    <n v="7696.800000000002"/>
    <n v="0"/>
    <n v="0"/>
    <n v="0"/>
    <n v="0"/>
    <n v="7614.0000000000009"/>
    <n v="0"/>
    <n v="-325966.66666669014"/>
    <n v="2044700"/>
    <n v="740833.33333333326"/>
    <n v="0"/>
    <n v="190068200"/>
    <n v="82233"/>
    <n v="0"/>
    <n v="-301521.00000002171"/>
    <n v="1891359"/>
    <n v="685274.99999999988"/>
    <n v="0"/>
    <n v="175814154"/>
    <x v="0"/>
    <n v="0"/>
    <n v="0"/>
    <n v="0"/>
    <n v="0"/>
  </r>
  <r>
    <n v="1185"/>
    <x v="6"/>
    <s v="P9299492"/>
    <s v="72228 SPRSTY TEDDY 75 LATTE TO GO"/>
    <x v="1"/>
    <n v="88900"/>
    <n v="1.6666666666666288"/>
    <n v="36"/>
    <n v="22.333333333333332"/>
    <n v="3390"/>
    <n v="0"/>
    <n v="0"/>
    <n v="0"/>
    <n v="0"/>
    <n v="0"/>
    <n v="72"/>
    <n v="90"/>
    <n v="3390"/>
    <n v="4553.7313432835817"/>
    <n v="0"/>
    <n v="0"/>
    <n v="0"/>
    <n v="0"/>
    <n v="4505.3731343283589"/>
    <n v="0"/>
    <n v="148166.66666666331"/>
    <n v="3200400"/>
    <n v="1985433.3333333333"/>
    <n v="0"/>
    <n v="301371000"/>
    <n v="82233"/>
    <n v="0"/>
    <n v="137054.99999999689"/>
    <n v="2960388"/>
    <n v="1836537"/>
    <n v="0"/>
    <n v="278769870"/>
    <x v="0"/>
    <n v="0"/>
    <n v="0"/>
    <n v="0"/>
    <n v="0"/>
  </r>
  <r>
    <n v="1186"/>
    <x v="6"/>
    <s v="P9299493"/>
    <s v="72235 SPRSTY TEDDY 80 KEEP IT COZY"/>
    <x v="1"/>
    <n v="88900"/>
    <n v="10.000000000000069"/>
    <n v="11"/>
    <n v="5.6666666666666652"/>
    <n v="4093"/>
    <n v="0"/>
    <n v="0"/>
    <n v="0"/>
    <n v="0"/>
    <n v="0"/>
    <n v="72"/>
    <n v="90"/>
    <n v="4093"/>
    <n v="9999"/>
    <n v="0"/>
    <n v="0"/>
    <n v="0"/>
    <n v="0"/>
    <n v="21610.588235294123"/>
    <n v="0"/>
    <n v="889000.00000000617"/>
    <n v="977900"/>
    <n v="503766.66666666651"/>
    <n v="0"/>
    <n v="363867700"/>
    <n v="82233"/>
    <n v="0"/>
    <n v="822330.0000000057"/>
    <n v="904563"/>
    <n v="465986.99999999988"/>
    <n v="0"/>
    <n v="336579669"/>
    <x v="0"/>
    <n v="0"/>
    <n v="0"/>
    <n v="0"/>
    <n v="0"/>
  </r>
  <r>
    <n v="1187"/>
    <x v="6"/>
    <s v="P9299494"/>
    <s v="00972 GA INV MIST SNSCRN AE75 SPF50"/>
    <x v="1"/>
    <n v="75800"/>
    <n v="0"/>
    <n v="3"/>
    <n v="1"/>
    <n v="22"/>
    <n v="0"/>
    <n v="0"/>
    <n v="0"/>
    <n v="0"/>
    <n v="0"/>
    <n v="144"/>
    <n v="90"/>
    <n v="22"/>
    <n v="660"/>
    <n v="0"/>
    <n v="0"/>
    <n v="0"/>
    <n v="0"/>
    <n v="570"/>
    <n v="0"/>
    <n v="0"/>
    <n v="227400"/>
    <n v="75800"/>
    <n v="0"/>
    <n v="1667600"/>
    <n v="70115"/>
    <n v="0"/>
    <n v="0"/>
    <n v="210345"/>
    <n v="70115"/>
    <n v="0"/>
    <n v="1542530"/>
    <x v="0"/>
    <n v="0"/>
    <n v="0"/>
    <n v="0"/>
    <n v="0"/>
  </r>
  <r>
    <n v="1188"/>
    <x v="6"/>
    <s v="P9299495"/>
    <s v="72518 LS FIREWORK MSCR VERY BLACK"/>
    <x v="3"/>
    <n v="100800"/>
    <n v="1247.3333333333292"/>
    <n v="1490"/>
    <n v="1279.3333333333333"/>
    <n v="3022"/>
    <n v="0"/>
    <n v="498"/>
    <n v="0"/>
    <n v="498"/>
    <n v="396"/>
    <n v="72"/>
    <n v="90"/>
    <n v="3022"/>
    <n v="70.865033871808237"/>
    <n v="1808"/>
    <n v="396"/>
    <n v="1808"/>
    <n v="1600"/>
    <n v="85.122459614382493"/>
    <n v="161280000"/>
    <n v="125731199.99999958"/>
    <n v="150192000"/>
    <n v="128956799.99999999"/>
    <n v="50198400"/>
    <n v="304617600"/>
    <n v="93240"/>
    <n v="149184000"/>
    <n v="116301359.99999961"/>
    <n v="138927600"/>
    <n v="119285040"/>
    <n v="46433520"/>
    <n v="281771280"/>
    <x v="0"/>
    <n v="1204"/>
    <n v="0"/>
    <n v="0"/>
    <n v="0"/>
  </r>
  <r>
    <n v="1189"/>
    <x v="6"/>
    <s v="P9299499"/>
    <s v="72884 SUPERSTAY VINYL 200 SALSA"/>
    <x v="1"/>
    <n v="88200"/>
    <n v="12.999999999999991"/>
    <n v="38"/>
    <n v="15.333333333333332"/>
    <n v="751"/>
    <n v="0"/>
    <n v="0"/>
    <n v="0"/>
    <n v="0"/>
    <n v="12"/>
    <n v="126"/>
    <n v="90"/>
    <n v="751"/>
    <n v="1469.3478260869565"/>
    <n v="0"/>
    <n v="12"/>
    <n v="0"/>
    <n v="0"/>
    <n v="1395.0000000000002"/>
    <n v="0"/>
    <n v="1146599.9999999993"/>
    <n v="3351600"/>
    <n v="1352400"/>
    <n v="0"/>
    <n v="66238200"/>
    <n v="81585"/>
    <n v="0"/>
    <n v="1060604.9999999993"/>
    <n v="3100230"/>
    <n v="1250970"/>
    <n v="0"/>
    <n v="61270335"/>
    <x v="0"/>
    <n v="-12"/>
    <n v="0"/>
    <n v="0"/>
    <n v="0"/>
  </r>
  <r>
    <n v="1190"/>
    <x v="6"/>
    <s v="P9299500"/>
    <s v="72907 SUPERSTAY VINYL 210 POMODORO"/>
    <x v="1"/>
    <n v="88200"/>
    <n v="16.3333333333333"/>
    <n v="34"/>
    <n v="16.666666666666668"/>
    <n v="599"/>
    <n v="0"/>
    <n v="0"/>
    <n v="0"/>
    <n v="0"/>
    <n v="0"/>
    <n v="126"/>
    <n v="90"/>
    <n v="599"/>
    <n v="1078.1999999999998"/>
    <n v="0"/>
    <n v="0"/>
    <n v="0"/>
    <n v="0"/>
    <n v="1017"/>
    <n v="0"/>
    <n v="1440599.999999997"/>
    <n v="2998800"/>
    <n v="1470000"/>
    <n v="0"/>
    <n v="52831800"/>
    <n v="81585"/>
    <n v="0"/>
    <n v="1332554.9999999972"/>
    <n v="2773890"/>
    <n v="1359750"/>
    <n v="0"/>
    <n v="48869415"/>
    <x v="0"/>
    <n v="0"/>
    <n v="0"/>
    <n v="0"/>
    <n v="0"/>
  </r>
  <r>
    <n v="1191"/>
    <x v="6"/>
    <s v="P9299515"/>
    <s v="26913 GLYCO DARKSP SPF50 DUS 50ML"/>
    <x v="2"/>
    <n v="126800"/>
    <n v="384.66666666666629"/>
    <n v="380"/>
    <n v="386.00000000000006"/>
    <n v="1192"/>
    <n v="0"/>
    <n v="0"/>
    <n v="0"/>
    <n v="0"/>
    <n v="447"/>
    <n v="126"/>
    <n v="90"/>
    <n v="1192"/>
    <n v="92.642487046632112"/>
    <n v="346.00000000000023"/>
    <n v="447"/>
    <n v="447"/>
    <n v="330"/>
    <n v="88.756476683937805"/>
    <n v="41844000"/>
    <n v="48775733.333333284"/>
    <n v="48184000"/>
    <n v="48944800.000000007"/>
    <n v="0"/>
    <n v="151145600"/>
    <n v="117290"/>
    <n v="38705700"/>
    <n v="45117553.333333291"/>
    <n v="44570200"/>
    <n v="45273940.000000007"/>
    <n v="0"/>
    <n v="139809680"/>
    <x v="0"/>
    <n v="-117"/>
    <n v="0"/>
    <n v="0"/>
    <n v="0"/>
  </r>
  <r>
    <n v="1192"/>
    <x v="6"/>
    <s v="P9299516"/>
    <s v="26791 BC SERUM CLEANSER 100ML"/>
    <x v="1"/>
    <n v="31300"/>
    <n v="64.333333333333002"/>
    <n v="35"/>
    <n v="45.666666666666671"/>
    <n v="21"/>
    <n v="0"/>
    <n v="0"/>
    <n v="0"/>
    <n v="0"/>
    <n v="36"/>
    <n v="12"/>
    <n v="90"/>
    <n v="21"/>
    <n v="13.795620437956202"/>
    <n v="151"/>
    <n v="36"/>
    <n v="151"/>
    <n v="0"/>
    <n v="0"/>
    <n v="0"/>
    <n v="2013633.333333323"/>
    <n v="1095500"/>
    <n v="1429366.6666666667"/>
    <n v="0"/>
    <n v="657300"/>
    <n v="28953"/>
    <n v="0"/>
    <n v="1862642.9999999905"/>
    <n v="1013355"/>
    <n v="1322187.0000000002"/>
    <n v="0"/>
    <n v="608013"/>
    <x v="0"/>
    <n v="-36"/>
    <n v="0"/>
    <n v="0"/>
    <n v="0"/>
  </r>
  <r>
    <n v="1193"/>
    <x v="6"/>
    <s v="P9299519"/>
    <s v="34168 SUPERSTAY VINYL INK 80"/>
    <x v="1"/>
    <n v="90100"/>
    <n v="425.99999999999977"/>
    <n v="238"/>
    <n v="358.00000000000006"/>
    <n v="690"/>
    <n v="0"/>
    <n v="3"/>
    <n v="0"/>
    <n v="3"/>
    <n v="516"/>
    <n v="126"/>
    <n v="90"/>
    <n v="690"/>
    <n v="57.821229050279321"/>
    <n v="619.00000000000023"/>
    <n v="516"/>
    <n v="619.00000000000023"/>
    <n v="0"/>
    <n v="38.128491620111724"/>
    <n v="0"/>
    <n v="38382599.999999978"/>
    <n v="21443800"/>
    <n v="32255800.000000004"/>
    <n v="270300"/>
    <n v="62169000"/>
    <n v="83343"/>
    <n v="0"/>
    <n v="35504117.999999978"/>
    <n v="19835634"/>
    <n v="29836794.000000004"/>
    <n v="250029"/>
    <n v="57506670"/>
    <x v="0"/>
    <n v="-516"/>
    <n v="0"/>
    <n v="0"/>
    <n v="0"/>
  </r>
  <r>
    <n v="1194"/>
    <x v="6"/>
    <s v="P9299520"/>
    <s v="34212 SUPERSTAY VINYL INK 37"/>
    <x v="1"/>
    <n v="90100"/>
    <n v="152.33333333333292"/>
    <n v="46"/>
    <n v="138.66666666666666"/>
    <n v="834"/>
    <n v="0"/>
    <n v="15"/>
    <n v="0"/>
    <n v="15"/>
    <n v="54"/>
    <n v="126"/>
    <n v="90"/>
    <n v="834"/>
    <n v="180.43269230769232"/>
    <n v="0"/>
    <n v="54"/>
    <n v="0"/>
    <n v="0"/>
    <n v="173.72596153846155"/>
    <n v="0"/>
    <n v="13725233.333333297"/>
    <n v="4144600"/>
    <n v="12493866.666666666"/>
    <n v="1351500"/>
    <n v="75143400"/>
    <n v="83343"/>
    <n v="0"/>
    <n v="12695916.999999965"/>
    <n v="3833778"/>
    <n v="11556896"/>
    <n v="1250145"/>
    <n v="69508062"/>
    <x v="0"/>
    <n v="-54"/>
    <n v="0"/>
    <n v="0"/>
    <n v="0"/>
  </r>
  <r>
    <n v="1195"/>
    <x v="6"/>
    <s v="P9299521"/>
    <s v="34229 SUPERSTAY VINYL INK 53"/>
    <x v="1"/>
    <n v="90100"/>
    <n v="297.66666666666691"/>
    <n v="173"/>
    <n v="255.66666666666666"/>
    <n v="686"/>
    <n v="0"/>
    <n v="48"/>
    <n v="0"/>
    <n v="48"/>
    <n v="144"/>
    <n v="126"/>
    <n v="90"/>
    <n v="686"/>
    <n v="80.495436766623214"/>
    <n v="206"/>
    <n v="144"/>
    <n v="206"/>
    <n v="0"/>
    <n v="65.827900912646669"/>
    <n v="0"/>
    <n v="26819766.66666669"/>
    <n v="15587300"/>
    <n v="23035566.666666664"/>
    <n v="4324800"/>
    <n v="61808600"/>
    <n v="83343"/>
    <n v="0"/>
    <n v="24808433.000000022"/>
    <n v="14418339"/>
    <n v="21308027"/>
    <n v="4000464"/>
    <n v="57173298"/>
    <x v="0"/>
    <n v="-144"/>
    <n v="0"/>
    <n v="0"/>
    <n v="0"/>
  </r>
  <r>
    <n v="1196"/>
    <x v="6"/>
    <s v="P9299522"/>
    <s v="34250 SUPERSTAY VINYL INK 23"/>
    <x v="1"/>
    <n v="90100"/>
    <n v="322.66666666666731"/>
    <n v="137"/>
    <n v="264"/>
    <n v="602"/>
    <n v="0"/>
    <n v="9"/>
    <n v="0"/>
    <n v="9"/>
    <n v="525"/>
    <n v="126"/>
    <n v="90"/>
    <n v="602"/>
    <n v="68.409090909090907"/>
    <n v="318"/>
    <n v="525"/>
    <n v="525"/>
    <n v="0"/>
    <n v="53.86363636363636"/>
    <n v="0"/>
    <n v="29072266.666666724"/>
    <n v="12343700"/>
    <n v="23786400"/>
    <n v="810900"/>
    <n v="54240200"/>
    <n v="83343"/>
    <n v="0"/>
    <n v="26892008.000000052"/>
    <n v="11417991"/>
    <n v="22002552"/>
    <n v="750087"/>
    <n v="50172486"/>
    <x v="0"/>
    <n v="-525"/>
    <n v="0"/>
    <n v="0"/>
    <n v="0"/>
  </r>
  <r>
    <n v="1197"/>
    <x v="6"/>
    <s v="P9299523"/>
    <s v="19137 ELS HYA SHP 400ML"/>
    <x v="2"/>
    <n v="75700"/>
    <n v="1"/>
    <n v="2"/>
    <n v="1.6666666666666665"/>
    <n v="54"/>
    <n v="0"/>
    <n v="0"/>
    <n v="0"/>
    <n v="0"/>
    <n v="0"/>
    <n v="12"/>
    <n v="90"/>
    <n v="54"/>
    <n v="972.00000000000023"/>
    <n v="0"/>
    <n v="0"/>
    <n v="0"/>
    <n v="0"/>
    <n v="936.00000000000011"/>
    <n v="0"/>
    <n v="75700"/>
    <n v="151400"/>
    <n v="126166.66666666666"/>
    <n v="0"/>
    <n v="4087800"/>
    <n v="70023"/>
    <n v="0"/>
    <n v="70023"/>
    <n v="140046"/>
    <n v="116704.99999999999"/>
    <n v="0"/>
    <n v="3781242"/>
    <x v="0"/>
    <n v="0"/>
    <n v="0"/>
    <n v="0"/>
    <n v="0"/>
  </r>
  <r>
    <n v="1198"/>
    <x v="6"/>
    <s v="P9299524"/>
    <s v="26999 ELS HA PURE SHP 400ML"/>
    <x v="2"/>
    <n v="75700"/>
    <n v="2"/>
    <n v="0"/>
    <n v="0"/>
    <n v="57"/>
    <n v="0"/>
    <n v="0"/>
    <n v="0"/>
    <n v="0"/>
    <n v="0"/>
    <n v="12"/>
    <n v="90"/>
    <n v="57"/>
    <n v="9999"/>
    <n v="0"/>
    <n v="0"/>
    <n v="0"/>
    <n v="0"/>
    <n v="9999"/>
    <n v="0"/>
    <n v="151400"/>
    <n v="0"/>
    <n v="0"/>
    <n v="0"/>
    <n v="4314900"/>
    <n v="70023"/>
    <n v="0"/>
    <n v="140046"/>
    <n v="0"/>
    <n v="0"/>
    <n v="0"/>
    <n v="3991311"/>
    <x v="0"/>
    <n v="0"/>
    <n v="0"/>
    <n v="0"/>
    <n v="0"/>
  </r>
  <r>
    <n v="1199"/>
    <x v="6"/>
    <s v="P9299527"/>
    <s v="27521 GAR UV COOL GEL SPF50 30ML"/>
    <x v="3"/>
    <n v="49800"/>
    <n v="17"/>
    <n v="22"/>
    <n v="24.333333333333332"/>
    <n v="0"/>
    <n v="0"/>
    <n v="24"/>
    <n v="0"/>
    <n v="24"/>
    <n v="24"/>
    <n v="24"/>
    <n v="90"/>
    <n v="0"/>
    <n v="0"/>
    <n v="71"/>
    <n v="24"/>
    <n v="71"/>
    <n v="72"/>
    <n v="91.232876712328775"/>
    <n v="3585600"/>
    <n v="846600"/>
    <n v="1095600"/>
    <n v="1211800"/>
    <n v="1195200"/>
    <n v="0"/>
    <n v="46065"/>
    <n v="3316680"/>
    <n v="783105"/>
    <n v="1013430"/>
    <n v="1120915"/>
    <n v="1105560"/>
    <n v="0"/>
    <x v="0"/>
    <n v="48"/>
    <n v="0"/>
    <n v="0"/>
    <n v="0"/>
  </r>
  <r>
    <n v="1200"/>
    <x v="6"/>
    <s v="P9299528"/>
    <s v="27484 GAR UV COOL GEL SS SPF35+20ML"/>
    <x v="3"/>
    <n v="28700"/>
    <n v="31.666666666666998"/>
    <n v="41"/>
    <n v="29.666666666666668"/>
    <n v="0"/>
    <n v="0"/>
    <n v="0"/>
    <n v="0"/>
    <n v="0"/>
    <n v="48"/>
    <n v="24"/>
    <n v="90"/>
    <n v="0"/>
    <n v="0"/>
    <n v="130"/>
    <n v="48"/>
    <n v="130"/>
    <n v="120"/>
    <n v="79.887640449438209"/>
    <n v="3444000"/>
    <n v="908833.3333333428"/>
    <n v="1176700"/>
    <n v="851433.33333333337"/>
    <n v="0"/>
    <n v="0"/>
    <n v="26548"/>
    <n v="3185760"/>
    <n v="840686.66666667548"/>
    <n v="1088468"/>
    <n v="787590.66666666674"/>
    <n v="0"/>
    <n v="0"/>
    <x v="0"/>
    <n v="72"/>
    <n v="0"/>
    <n v="0"/>
    <n v="0"/>
  </r>
  <r>
    <n v="1201"/>
    <x v="6"/>
    <s v="P9299530"/>
    <s v="7316 GLYCOLIC-BRIGHT EXFO PEEL 25ML"/>
    <x v="2"/>
    <n v="129000"/>
    <n v="181.00000000000045"/>
    <n v="228"/>
    <n v="198.33333333333331"/>
    <n v="3256"/>
    <n v="0"/>
    <n v="0"/>
    <n v="0"/>
    <n v="0"/>
    <n v="108"/>
    <n v="12"/>
    <n v="90"/>
    <n v="3256"/>
    <n v="492.50420168067234"/>
    <n v="0"/>
    <n v="108"/>
    <n v="0"/>
    <n v="0"/>
    <n v="458.01680672268913"/>
    <n v="0"/>
    <n v="23349000.00000006"/>
    <n v="29412000"/>
    <n v="25584999.999999996"/>
    <n v="0"/>
    <n v="420024000"/>
    <n v="119325"/>
    <n v="0"/>
    <n v="21597825.000000056"/>
    <n v="27206100"/>
    <n v="23666124.999999996"/>
    <n v="0"/>
    <n v="388522200"/>
    <x v="0"/>
    <n v="-108"/>
    <n v="0"/>
    <n v="0"/>
    <n v="0"/>
  </r>
  <r>
    <n v="1202"/>
    <x v="6"/>
    <s v="P9299531"/>
    <s v="4726 LOR INF 3-SECOND SETTING MIST"/>
    <x v="1"/>
    <n v="72500"/>
    <n v="349.00000000000091"/>
    <n v="224"/>
    <n v="325"/>
    <n v="975"/>
    <n v="0"/>
    <n v="90"/>
    <n v="0"/>
    <n v="66"/>
    <n v="108"/>
    <n v="6"/>
    <n v="90"/>
    <n v="975"/>
    <n v="90"/>
    <n v="158"/>
    <n v="132"/>
    <n v="158"/>
    <n v="0"/>
    <n v="75.415384615384625"/>
    <n v="0"/>
    <n v="25302500.000000067"/>
    <n v="16240000"/>
    <n v="23562500"/>
    <n v="4785000"/>
    <n v="70687500"/>
    <n v="67063"/>
    <n v="0"/>
    <n v="23404987.00000006"/>
    <n v="15022112"/>
    <n v="21795475"/>
    <n v="4426158"/>
    <n v="65386425"/>
    <x v="0"/>
    <n v="-132"/>
    <n v="0"/>
    <n v="0"/>
    <n v="0"/>
  </r>
  <r>
    <n v="1203"/>
    <x v="6"/>
    <s v="P9299532"/>
    <s v="0507 LOR INF 24H SRM 0.5-2 VRYLGHT"/>
    <x v="1"/>
    <n v="112900"/>
    <n v="68.666666666666302"/>
    <n v="36"/>
    <n v="54.333333333333336"/>
    <n v="184"/>
    <n v="0"/>
    <n v="0"/>
    <n v="0"/>
    <n v="0"/>
    <n v="39"/>
    <n v="63"/>
    <n v="90"/>
    <n v="184"/>
    <n v="101.59509202453988"/>
    <n v="15"/>
    <n v="39"/>
    <n v="39"/>
    <n v="0"/>
    <n v="81.717791411042938"/>
    <n v="0"/>
    <n v="7752466.6666666251"/>
    <n v="4064400"/>
    <n v="6134233.333333334"/>
    <n v="0"/>
    <n v="20773600"/>
    <n v="104433"/>
    <n v="0"/>
    <n v="7171065.9999999618"/>
    <n v="3759588"/>
    <n v="5674193"/>
    <n v="0"/>
    <n v="19215672"/>
    <x v="0"/>
    <n v="-39"/>
    <n v="0"/>
    <n v="0"/>
    <n v="0"/>
  </r>
  <r>
    <n v="1204"/>
    <x v="6"/>
    <s v="P9299533"/>
    <s v="0514 LOR INF 24H SRM 1-2 RSYLGHT"/>
    <x v="1"/>
    <n v="112900"/>
    <n v="134.66666666666663"/>
    <n v="77"/>
    <n v="115.66666666666667"/>
    <n v="3882"/>
    <n v="0"/>
    <n v="0"/>
    <n v="0"/>
    <n v="0"/>
    <n v="9"/>
    <n v="63"/>
    <n v="90"/>
    <n v="3882"/>
    <n v="1006.8587896253601"/>
    <n v="0"/>
    <n v="9"/>
    <n v="0"/>
    <n v="0"/>
    <n v="986.88760806916412"/>
    <n v="0"/>
    <n v="15203866.666666662"/>
    <n v="8693300"/>
    <n v="13058766.666666668"/>
    <n v="0"/>
    <n v="438277800"/>
    <n v="104433"/>
    <n v="0"/>
    <n v="14063643.999999996"/>
    <n v="8041341"/>
    <n v="12079417"/>
    <n v="0"/>
    <n v="405408906"/>
    <x v="0"/>
    <n v="-9"/>
    <n v="0"/>
    <n v="0"/>
    <n v="0"/>
  </r>
  <r>
    <n v="1205"/>
    <x v="6"/>
    <s v="P9299534"/>
    <s v="0521 LOR INF 24H SRM 2-3 LIGHT"/>
    <x v="1"/>
    <n v="112900"/>
    <n v="143.66666666666634"/>
    <n v="80"/>
    <n v="122"/>
    <n v="553"/>
    <n v="0"/>
    <n v="9"/>
    <n v="0"/>
    <n v="9"/>
    <n v="39"/>
    <n v="63"/>
    <n v="90"/>
    <n v="553"/>
    <n v="135.98360655737704"/>
    <n v="0"/>
    <n v="39"/>
    <n v="39"/>
    <n v="0"/>
    <n v="118.52459016393443"/>
    <n v="0"/>
    <n v="16219966.666666631"/>
    <n v="9032000"/>
    <n v="13773800"/>
    <n v="1016100"/>
    <n v="62433700"/>
    <n v="104433"/>
    <n v="0"/>
    <n v="15003540.999999966"/>
    <n v="8354640"/>
    <n v="12740826"/>
    <n v="939897"/>
    <n v="57751449"/>
    <x v="0"/>
    <n v="-39"/>
    <n v="0"/>
    <n v="0"/>
    <n v="0"/>
  </r>
  <r>
    <n v="1206"/>
    <x v="6"/>
    <s v="P9299535"/>
    <s v="0538 LOR INF 24H SRM 3-4 LGHTMED"/>
    <x v="1"/>
    <n v="112900"/>
    <n v="107.33333333333337"/>
    <n v="70"/>
    <n v="101.66666666666666"/>
    <n v="3359"/>
    <n v="0"/>
    <n v="3"/>
    <n v="0"/>
    <n v="3"/>
    <n v="3"/>
    <n v="63"/>
    <n v="90"/>
    <n v="3359"/>
    <n v="991.1803278688526"/>
    <n v="0"/>
    <n v="3"/>
    <n v="0"/>
    <n v="0"/>
    <n v="971.40983606557381"/>
    <n v="0"/>
    <n v="12117933.333333338"/>
    <n v="7903000"/>
    <n v="11478166.666666666"/>
    <n v="338700"/>
    <n v="379231100"/>
    <n v="104433"/>
    <n v="0"/>
    <n v="11209142.000000004"/>
    <n v="7310310"/>
    <n v="10617354.999999998"/>
    <n v="313299"/>
    <n v="350790447"/>
    <x v="0"/>
    <n v="-3"/>
    <n v="0"/>
    <n v="0"/>
    <n v="0"/>
  </r>
  <r>
    <n v="1207"/>
    <x v="6"/>
    <s v="P9299536"/>
    <s v="0545 LOR INF 24H SRM 4-5 MED"/>
    <x v="1"/>
    <n v="112900"/>
    <n v="19.999999999999901"/>
    <n v="4"/>
    <n v="15.666666666666666"/>
    <n v="247"/>
    <n v="0"/>
    <n v="0"/>
    <n v="0"/>
    <n v="0"/>
    <n v="12"/>
    <n v="63"/>
    <n v="90"/>
    <n v="247"/>
    <n v="472.97872340425533"/>
    <n v="0"/>
    <n v="12"/>
    <n v="0"/>
    <n v="0"/>
    <n v="465.31914893617022"/>
    <n v="0"/>
    <n v="2257999.9999999888"/>
    <n v="451600"/>
    <n v="1768766.6666666665"/>
    <n v="0"/>
    <n v="27886300"/>
    <n v="104433"/>
    <n v="0"/>
    <n v="2088659.9999999895"/>
    <n v="417732"/>
    <n v="1636117"/>
    <n v="0"/>
    <n v="25794951"/>
    <x v="0"/>
    <n v="-12"/>
    <n v="0"/>
    <n v="0"/>
    <n v="0"/>
  </r>
  <r>
    <n v="1208"/>
    <x v="6"/>
    <s v="P9299537"/>
    <s v="0552 LOR INF 24H SRM 5-6 MED TAN"/>
    <x v="1"/>
    <n v="112900"/>
    <n v="25.333333333333272"/>
    <n v="9"/>
    <n v="20.333333333333336"/>
    <n v="655"/>
    <n v="0"/>
    <n v="0"/>
    <n v="0"/>
    <n v="0"/>
    <n v="0"/>
    <n v="63"/>
    <n v="90"/>
    <n v="655"/>
    <n v="966.39344262295072"/>
    <n v="0"/>
    <n v="0"/>
    <n v="0"/>
    <n v="0"/>
    <n v="953.11475409836055"/>
    <n v="0"/>
    <n v="2860133.3333333265"/>
    <n v="1016100"/>
    <n v="2295633.3333333335"/>
    <n v="0"/>
    <n v="73949500"/>
    <n v="104433"/>
    <n v="0"/>
    <n v="2645635.9999999935"/>
    <n v="939897"/>
    <n v="2123471.0000000005"/>
    <n v="0"/>
    <n v="68403615"/>
    <x v="0"/>
    <n v="0"/>
    <n v="0"/>
    <n v="0"/>
    <n v="0"/>
  </r>
  <r>
    <n v="1209"/>
    <x v="6"/>
    <s v="P9299538"/>
    <s v="0569 LOR INF 24H SRM 6-7 TAN"/>
    <x v="1"/>
    <n v="112900"/>
    <n v="13.999999999999931"/>
    <n v="9"/>
    <n v="10.333333333333332"/>
    <n v="692"/>
    <n v="0"/>
    <n v="0"/>
    <n v="0"/>
    <n v="0"/>
    <n v="0"/>
    <n v="63"/>
    <n v="90"/>
    <n v="692"/>
    <n v="2009.0322580645161"/>
    <n v="0"/>
    <n v="0"/>
    <n v="0"/>
    <n v="0"/>
    <n v="1982.9032258064519"/>
    <n v="0"/>
    <n v="1580599.9999999921"/>
    <n v="1016100"/>
    <n v="1166633.3333333333"/>
    <n v="0"/>
    <n v="78126800"/>
    <n v="104433"/>
    <n v="0"/>
    <n v="1462061.9999999928"/>
    <n v="939897"/>
    <n v="1079140.9999999998"/>
    <n v="0"/>
    <n v="72267636"/>
    <x v="0"/>
    <n v="0"/>
    <n v="0"/>
    <n v="0"/>
    <n v="0"/>
  </r>
  <r>
    <n v="1210"/>
    <x v="6"/>
    <s v="P9299539"/>
    <s v="88501 LOR BLUSH 625 GLWY GOLD PINK"/>
    <x v="1"/>
    <n v="100900"/>
    <n v="3.0000000000000102"/>
    <n v="5"/>
    <n v="3.9999999999999996"/>
    <n v="1140"/>
    <n v="0"/>
    <n v="0"/>
    <n v="0"/>
    <n v="0"/>
    <n v="0"/>
    <n v="180"/>
    <n v="90"/>
    <n v="1140"/>
    <n v="8550.0000000000018"/>
    <n v="0"/>
    <n v="0"/>
    <n v="0"/>
    <n v="0"/>
    <n v="8512.5000000000018"/>
    <n v="0"/>
    <n v="302700.00000000105"/>
    <n v="504500"/>
    <n v="403599.99999999994"/>
    <n v="0"/>
    <n v="115026000"/>
    <n v="93333"/>
    <n v="0"/>
    <n v="279999.00000000093"/>
    <n v="466665"/>
    <n v="373331.99999999994"/>
    <n v="0"/>
    <n v="106399620"/>
    <x v="0"/>
    <n v="0"/>
    <n v="0"/>
    <n v="0"/>
    <n v="0"/>
  </r>
  <r>
    <n v="1211"/>
    <x v="6"/>
    <s v="P9299540"/>
    <s v="88532 LOR BLUSH 630 GLWY TRUE ROSE"/>
    <x v="1"/>
    <n v="100900"/>
    <n v="1.3333333333333401"/>
    <n v="4"/>
    <n v="1.6666666666666665"/>
    <n v="651"/>
    <n v="0"/>
    <n v="0"/>
    <n v="0"/>
    <n v="0"/>
    <n v="0"/>
    <n v="180"/>
    <n v="90"/>
    <n v="651"/>
    <n v="9999"/>
    <n v="0"/>
    <n v="0"/>
    <n v="0"/>
    <n v="0"/>
    <n v="11646.000000000002"/>
    <n v="0"/>
    <n v="134533.33333333401"/>
    <n v="403600"/>
    <n v="168166.66666666666"/>
    <n v="0"/>
    <n v="65685900"/>
    <n v="93333"/>
    <n v="0"/>
    <n v="124444.00000000064"/>
    <n v="373332"/>
    <n v="155555"/>
    <n v="0"/>
    <n v="60759783"/>
    <x v="0"/>
    <n v="0"/>
    <n v="0"/>
    <n v="0"/>
    <n v="0"/>
  </r>
  <r>
    <n v="1212"/>
    <x v="6"/>
    <s v="P9299541"/>
    <s v="88556 LOR BLUSH 635 GLWY WORHTIT MD"/>
    <x v="1"/>
    <n v="100900"/>
    <n v="3"/>
    <n v="6"/>
    <n v="3.0000000000000004"/>
    <n v="1206"/>
    <n v="0"/>
    <n v="0"/>
    <n v="0"/>
    <n v="0"/>
    <n v="0"/>
    <n v="180"/>
    <n v="90"/>
    <n v="1206"/>
    <n v="9999"/>
    <n v="0"/>
    <n v="0"/>
    <n v="0"/>
    <n v="0"/>
    <n v="11999.999999999998"/>
    <n v="0"/>
    <n v="302700"/>
    <n v="605400"/>
    <n v="302700.00000000006"/>
    <n v="0"/>
    <n v="121685400"/>
    <n v="93333"/>
    <n v="0"/>
    <n v="279999"/>
    <n v="559998"/>
    <n v="279999.00000000006"/>
    <n v="0"/>
    <n v="112559598"/>
    <x v="0"/>
    <n v="0"/>
    <n v="0"/>
    <n v="0"/>
    <n v="0"/>
  </r>
  <r>
    <n v="1213"/>
    <x v="6"/>
    <s v="P9299542"/>
    <s v="68402 SUNKISSER 02 UPTOWN GLOW"/>
    <x v="1"/>
    <n v="78800"/>
    <n v="-9.3333333333333606"/>
    <n v="5"/>
    <n v="3.9999999999999996"/>
    <n v="1978"/>
    <n v="0"/>
    <n v="0"/>
    <n v="0"/>
    <n v="0"/>
    <n v="0"/>
    <n v="69"/>
    <n v="90"/>
    <n v="1978"/>
    <n v="9999"/>
    <n v="0"/>
    <n v="0"/>
    <n v="0"/>
    <n v="0"/>
    <n v="14797.500000000002"/>
    <n v="0"/>
    <n v="-735466.66666666884"/>
    <n v="394000"/>
    <n v="315199.99999999994"/>
    <n v="0"/>
    <n v="155866400"/>
    <n v="72890"/>
    <n v="0"/>
    <n v="-680306.66666666861"/>
    <n v="364450"/>
    <n v="291559.99999999994"/>
    <n v="0"/>
    <n v="144176420"/>
    <x v="0"/>
    <n v="0"/>
    <n v="0"/>
    <n v="0"/>
    <n v="0"/>
  </r>
  <r>
    <n v="1214"/>
    <x v="6"/>
    <s v="P9299543"/>
    <s v="68419 SUNKISSER 03 SOL SEARCH"/>
    <x v="1"/>
    <n v="78800"/>
    <n v="-8.3333333333336999"/>
    <n v="6"/>
    <n v="5.333333333333333"/>
    <n v="1895"/>
    <n v="0"/>
    <n v="0"/>
    <n v="0"/>
    <n v="0"/>
    <n v="0"/>
    <n v="69"/>
    <n v="90"/>
    <n v="1895"/>
    <n v="9999"/>
    <n v="0"/>
    <n v="0"/>
    <n v="0"/>
    <n v="0"/>
    <n v="10625.625"/>
    <n v="0"/>
    <n v="-656666.6666666955"/>
    <n v="472800"/>
    <n v="420266.66666666663"/>
    <n v="0"/>
    <n v="149326000"/>
    <n v="72890"/>
    <n v="0"/>
    <n v="-607416.6666666934"/>
    <n v="437340"/>
    <n v="388746.66666666663"/>
    <n v="0"/>
    <n v="138126550"/>
    <x v="0"/>
    <n v="0"/>
    <n v="0"/>
    <n v="0"/>
    <n v="0"/>
  </r>
  <r>
    <n v="1215"/>
    <x v="6"/>
    <s v="P9299544"/>
    <s v="68495 SUNKISSER 11 ELECTRIC BRONZE"/>
    <x v="1"/>
    <n v="78800"/>
    <n v="-10.6666666666664"/>
    <n v="4"/>
    <n v="2.333333333333333"/>
    <n v="1986"/>
    <n v="0"/>
    <n v="0"/>
    <n v="0"/>
    <n v="0"/>
    <n v="0"/>
    <n v="69"/>
    <n v="90"/>
    <n v="1986"/>
    <n v="9999"/>
    <n v="0"/>
    <n v="0"/>
    <n v="0"/>
    <n v="0"/>
    <n v="25482.857142857145"/>
    <n v="0"/>
    <n v="-840533.3333333123"/>
    <n v="315200"/>
    <n v="183866.66666666666"/>
    <n v="0"/>
    <n v="156496800"/>
    <n v="72890"/>
    <n v="0"/>
    <n v="-777493.33333331381"/>
    <n v="291560"/>
    <n v="170076.66666666666"/>
    <n v="0"/>
    <n v="144759540"/>
    <x v="0"/>
    <n v="0"/>
    <n v="0"/>
    <n v="0"/>
    <n v="0"/>
  </r>
  <r>
    <n v="1216"/>
    <x v="6"/>
    <s v="P9299545"/>
    <s v="68440 SUNKISSER 06 CITY SIZZLE "/>
    <x v="1"/>
    <n v="78800"/>
    <n v="13.000000000000039"/>
    <n v="11"/>
    <n v="11.333333333333332"/>
    <n v="1324"/>
    <n v="0"/>
    <n v="0"/>
    <n v="0"/>
    <n v="0"/>
    <n v="0"/>
    <n v="69"/>
    <n v="90"/>
    <n v="1324"/>
    <n v="3504.7058823529419"/>
    <n v="0"/>
    <n v="0"/>
    <n v="0"/>
    <n v="0"/>
    <n v="3475.588235294118"/>
    <n v="0"/>
    <n v="1024400.000000003"/>
    <n v="866800"/>
    <n v="893066.66666666663"/>
    <n v="0"/>
    <n v="104331200"/>
    <n v="72890"/>
    <n v="0"/>
    <n v="947570.00000000279"/>
    <n v="801790"/>
    <n v="826086.66666666663"/>
    <n v="0"/>
    <n v="96506360"/>
    <x v="0"/>
    <n v="0"/>
    <n v="0"/>
    <n v="0"/>
    <n v="0"/>
  </r>
  <r>
    <n v="1217"/>
    <x v="6"/>
    <s v="P9299546"/>
    <s v="68464 SUNKISSER 08 SHADES ON"/>
    <x v="1"/>
    <n v="78800"/>
    <n v="-3.3333333333333002"/>
    <n v="7"/>
    <n v="6.6666666666666661"/>
    <n v="1482"/>
    <n v="0"/>
    <n v="0"/>
    <n v="0"/>
    <n v="0"/>
    <n v="0"/>
    <n v="69"/>
    <n v="90"/>
    <n v="1482"/>
    <n v="6669"/>
    <n v="0"/>
    <n v="0"/>
    <n v="0"/>
    <n v="0"/>
    <n v="6637.5000000000009"/>
    <n v="0"/>
    <n v="-262666.66666666407"/>
    <n v="551600"/>
    <n v="525333.33333333326"/>
    <n v="0"/>
    <n v="116781600"/>
    <n v="72890"/>
    <n v="0"/>
    <n v="-242966.66666666424"/>
    <n v="510230"/>
    <n v="485933.33333333331"/>
    <n v="0"/>
    <n v="108022980"/>
    <x v="0"/>
    <n v="0"/>
    <n v="0"/>
    <n v="0"/>
    <n v="0"/>
  </r>
  <r>
    <n v="1218"/>
    <x v="6"/>
    <s v="P9299547"/>
    <s v="75267 MYB SSMI 500 INSIDER"/>
    <x v="2"/>
    <n v="87600"/>
    <n v="1046.0000000000032"/>
    <n v="1139"/>
    <n v="968.66666666666663"/>
    <n v="5639"/>
    <n v="0"/>
    <n v="525"/>
    <n v="0"/>
    <n v="525"/>
    <n v="543"/>
    <n v="126"/>
    <n v="90"/>
    <n v="5639"/>
    <n v="174.64211975223677"/>
    <n v="0"/>
    <n v="543"/>
    <n v="0"/>
    <n v="0"/>
    <n v="155.62629043358569"/>
    <n v="0"/>
    <n v="91629600.000000283"/>
    <n v="99776400"/>
    <n v="84855200"/>
    <n v="45990000"/>
    <n v="493976400"/>
    <n v="81030"/>
    <n v="0"/>
    <n v="84757380.000000253"/>
    <n v="92293170"/>
    <n v="78491060"/>
    <n v="42540750"/>
    <n v="456928170"/>
    <x v="0"/>
    <n v="-543"/>
    <n v="0"/>
    <n v="0"/>
    <n v="0"/>
  </r>
  <r>
    <n v="1219"/>
    <x v="6"/>
    <s v="P9299548"/>
    <s v="75274 MYB SSMI 505 ENTERTAINER"/>
    <x v="3"/>
    <n v="87600"/>
    <n v="2475.9999999999891"/>
    <n v="2581"/>
    <n v="2357.333333333333"/>
    <n v="6405"/>
    <n v="0"/>
    <n v="48"/>
    <n v="0"/>
    <n v="48"/>
    <n v="780"/>
    <n v="126"/>
    <n v="90"/>
    <n v="6405"/>
    <n v="81.511595022624448"/>
    <n v="3200"/>
    <n v="780"/>
    <n v="3200"/>
    <n v="3000"/>
    <n v="87.454751131221727"/>
    <n v="262800000"/>
    <n v="216897599.99999905"/>
    <n v="226095600"/>
    <n v="206502399.99999997"/>
    <n v="4204800"/>
    <n v="561078000"/>
    <n v="81030"/>
    <n v="243090000"/>
    <n v="200630279.99999911"/>
    <n v="209138430"/>
    <n v="191014719.99999997"/>
    <n v="3889440"/>
    <n v="518997150"/>
    <x v="0"/>
    <n v="2220"/>
    <n v="0"/>
    <n v="0"/>
    <n v="0"/>
  </r>
  <r>
    <n v="1220"/>
    <x v="6"/>
    <s v="P9299549"/>
    <s v="75298 MYB SSMI 515 RENEGADE"/>
    <x v="3"/>
    <n v="87600"/>
    <n v="2738.3333333333403"/>
    <n v="3651"/>
    <n v="3059"/>
    <n v="9377"/>
    <n v="0"/>
    <n v="258"/>
    <n v="0"/>
    <n v="258"/>
    <n v="378"/>
    <n v="126"/>
    <n v="90"/>
    <n v="9377"/>
    <n v="91.961425302386402"/>
    <n v="3193"/>
    <n v="378"/>
    <n v="3193"/>
    <n v="3000"/>
    <n v="88.107224583197123"/>
    <n v="262800000"/>
    <n v="239878000.0000006"/>
    <n v="319827600"/>
    <n v="267968400"/>
    <n v="22600800"/>
    <n v="821425200"/>
    <n v="81030"/>
    <n v="243090000"/>
    <n v="221887150.00000057"/>
    <n v="295840530"/>
    <n v="247870770"/>
    <n v="20905740"/>
    <n v="759818310"/>
    <x v="0"/>
    <n v="2622"/>
    <n v="0"/>
    <n v="0"/>
    <n v="0"/>
  </r>
  <r>
    <n v="1221"/>
    <x v="6"/>
    <s v="P9299550"/>
    <s v="75328 MYB SSMI 530 WARRIOR"/>
    <x v="3"/>
    <n v="87600"/>
    <n v="2761.9999999999959"/>
    <n v="3353"/>
    <n v="3001.6666666666665"/>
    <n v="7412"/>
    <n v="0"/>
    <n v="54"/>
    <n v="0"/>
    <n v="54"/>
    <n v="1290"/>
    <n v="126"/>
    <n v="90"/>
    <n v="7412"/>
    <n v="74.078845086063296"/>
    <n v="4892"/>
    <n v="1290"/>
    <n v="4892"/>
    <n v="3000"/>
    <n v="71.090505274847317"/>
    <n v="262800000"/>
    <n v="241951199.99999964"/>
    <n v="293722800"/>
    <n v="262946000"/>
    <n v="4730400"/>
    <n v="649291200"/>
    <n v="81030"/>
    <n v="243090000"/>
    <n v="223804859.99999967"/>
    <n v="271693590"/>
    <n v="243225050"/>
    <n v="4375620"/>
    <n v="600594360"/>
    <x v="0"/>
    <n v="1710"/>
    <n v="0"/>
    <n v="0"/>
    <n v="0"/>
  </r>
  <r>
    <n v="1222"/>
    <x v="6"/>
    <s v="P9299551"/>
    <s v="75335 MYB SSMI 535 WILDCARD"/>
    <x v="3"/>
    <n v="87600"/>
    <n v="1858.9999999999945"/>
    <n v="2464"/>
    <n v="2069.333333333333"/>
    <n v="2783"/>
    <n v="0"/>
    <n v="0"/>
    <n v="0"/>
    <n v="0"/>
    <n v="2877"/>
    <n v="126"/>
    <n v="90"/>
    <n v="2783"/>
    <n v="40.346327319587637"/>
    <n v="5889"/>
    <n v="2877"/>
    <n v="5889"/>
    <n v="5400"/>
    <n v="82.910760309278359"/>
    <n v="473040000"/>
    <n v="162848399.99999952"/>
    <n v="215846400"/>
    <n v="181273599.99999997"/>
    <n v="0"/>
    <n v="243790800"/>
    <n v="81030"/>
    <n v="437562000"/>
    <n v="150634769.99999955"/>
    <n v="199657920"/>
    <n v="167678079.99999997"/>
    <n v="0"/>
    <n v="225506490"/>
    <x v="0"/>
    <n v="2523"/>
    <n v="0"/>
    <n v="0"/>
    <n v="0"/>
  </r>
  <r>
    <n v="1223"/>
    <x v="6"/>
    <s v="P9299552"/>
    <s v="75359 MYB SSMI 545 DISRUPTER"/>
    <x v="3"/>
    <n v="87600"/>
    <n v="1874.6666666666761"/>
    <n v="2320"/>
    <n v="1897.3333333333333"/>
    <n v="5615"/>
    <n v="0"/>
    <n v="6"/>
    <n v="0"/>
    <n v="6"/>
    <n v="1053"/>
    <n v="126"/>
    <n v="90"/>
    <n v="5615"/>
    <n v="88.782501756851715"/>
    <n v="2391"/>
    <n v="1053"/>
    <n v="2391"/>
    <n v="2300"/>
    <n v="88.561138439915666"/>
    <n v="201480000"/>
    <n v="164220800.00000083"/>
    <n v="203232000"/>
    <n v="166206400"/>
    <n v="525600"/>
    <n v="491874000"/>
    <n v="81030"/>
    <n v="186369000"/>
    <n v="151904240.00000077"/>
    <n v="187989600"/>
    <n v="153740920"/>
    <n v="486180"/>
    <n v="454983450"/>
    <x v="0"/>
    <n v="1247"/>
    <n v="0"/>
    <n v="0"/>
    <n v="0"/>
  </r>
  <r>
    <n v="1224"/>
    <x v="6"/>
    <s v="P9299553"/>
    <s v="75533 LMU INF LAQUE RESISTANCE 215"/>
    <x v="1"/>
    <n v="98600"/>
    <n v="323.3333333333336"/>
    <n v="160"/>
    <n v="275.33333333333331"/>
    <n v="467"/>
    <n v="0"/>
    <n v="12"/>
    <n v="0"/>
    <n v="12"/>
    <n v="390"/>
    <n v="117"/>
    <n v="90"/>
    <n v="467"/>
    <n v="50.883777239709445"/>
    <n v="507"/>
    <n v="390"/>
    <n v="507"/>
    <n v="0"/>
    <n v="34.757869249394673"/>
    <n v="0"/>
    <n v="31880666.666666694"/>
    <n v="15776000"/>
    <n v="27147866.666666664"/>
    <n v="1183200"/>
    <n v="46046200"/>
    <n v="91205"/>
    <n v="0"/>
    <n v="29489616.66666669"/>
    <n v="14592800"/>
    <n v="25111776.666666664"/>
    <n v="1094460"/>
    <n v="42592735"/>
    <x v="0"/>
    <n v="-390"/>
    <n v="0"/>
    <n v="0"/>
    <n v="0"/>
  </r>
  <r>
    <n v="1225"/>
    <x v="6"/>
    <s v="P9299554"/>
    <s v="75540 LMU INF LAQUE RESISTANCE 220"/>
    <x v="1"/>
    <n v="98600"/>
    <n v="88.666666666667098"/>
    <n v="57"/>
    <n v="84"/>
    <n v="385"/>
    <n v="0"/>
    <n v="30"/>
    <n v="0"/>
    <n v="0"/>
    <n v="39"/>
    <n v="117"/>
    <n v="90"/>
    <n v="385"/>
    <n v="137.5"/>
    <n v="0"/>
    <n v="69"/>
    <n v="69"/>
    <n v="0"/>
    <n v="117.14285714285714"/>
    <n v="0"/>
    <n v="8742533.3333333749"/>
    <n v="5620200"/>
    <n v="8282400"/>
    <n v="0"/>
    <n v="37961000"/>
    <n v="91205"/>
    <n v="0"/>
    <n v="8086843.3333333731"/>
    <n v="5198685"/>
    <n v="7661220"/>
    <n v="0"/>
    <n v="35113925"/>
    <x v="0"/>
    <n v="-69"/>
    <n v="0"/>
    <n v="0"/>
    <n v="0"/>
  </r>
  <r>
    <n v="1226"/>
    <x v="6"/>
    <s v="P9299555"/>
    <s v="75557 LMU INF LAQUE RESISTANCE 225"/>
    <x v="1"/>
    <n v="98600"/>
    <n v="204.00000000000031"/>
    <n v="146"/>
    <n v="169"/>
    <n v="608"/>
    <n v="0"/>
    <n v="21"/>
    <n v="0"/>
    <n v="21"/>
    <n v="75"/>
    <n v="117"/>
    <n v="90"/>
    <n v="608"/>
    <n v="107.92899408284025"/>
    <n v="24"/>
    <n v="75"/>
    <n v="75"/>
    <n v="0"/>
    <n v="85.739644970414204"/>
    <n v="0"/>
    <n v="20114400.00000003"/>
    <n v="14395600"/>
    <n v="16663400"/>
    <n v="2070600"/>
    <n v="59948800"/>
    <n v="91205"/>
    <n v="0"/>
    <n v="18605820.00000003"/>
    <n v="13315930"/>
    <n v="15413645"/>
    <n v="1915305"/>
    <n v="55452640"/>
    <x v="0"/>
    <n v="-75"/>
    <n v="0"/>
    <n v="0"/>
    <n v="0"/>
  </r>
  <r>
    <n v="1227"/>
    <x v="6"/>
    <s v="P9299556"/>
    <s v="75595 LMU INF LAQUE RESISTANCE 420"/>
    <x v="1"/>
    <n v="98600"/>
    <n v="176.00000000000068"/>
    <n v="144"/>
    <n v="143.99999999999997"/>
    <n v="467"/>
    <n v="0"/>
    <n v="6"/>
    <n v="0"/>
    <n v="6"/>
    <n v="21"/>
    <n v="117"/>
    <n v="90"/>
    <n v="467"/>
    <n v="97.291666666666686"/>
    <n v="102.99999999999989"/>
    <n v="21"/>
    <n v="102.99999999999989"/>
    <n v="0"/>
    <n v="68.541666666666686"/>
    <n v="0"/>
    <n v="17353600.000000067"/>
    <n v="14198400"/>
    <n v="14198399.999999996"/>
    <n v="591600"/>
    <n v="46046200"/>
    <n v="91205"/>
    <n v="0"/>
    <n v="16052080.000000061"/>
    <n v="13133520"/>
    <n v="13133519.999999998"/>
    <n v="547230"/>
    <n v="42592735"/>
    <x v="0"/>
    <n v="-21"/>
    <n v="0"/>
    <n v="0"/>
    <n v="0"/>
  </r>
  <r>
    <n v="1228"/>
    <x v="6"/>
    <s v="P9299557"/>
    <s v="75601 LMU INF LAQUE RESISTANCE 510"/>
    <x v="1"/>
    <n v="98600"/>
    <n v="182.33333333333454"/>
    <n v="129"/>
    <n v="144.66666666666666"/>
    <n v="465"/>
    <n v="0"/>
    <n v="0"/>
    <n v="0"/>
    <n v="0"/>
    <n v="30"/>
    <n v="117"/>
    <n v="90"/>
    <n v="465"/>
    <n v="96.428571428571431"/>
    <n v="98"/>
    <n v="30"/>
    <n v="98"/>
    <n v="0"/>
    <n v="69.677419354838719"/>
    <n v="0"/>
    <n v="17978066.666666787"/>
    <n v="12719400"/>
    <n v="14264133.333333332"/>
    <n v="0"/>
    <n v="45849000"/>
    <n v="91205"/>
    <n v="0"/>
    <n v="16629711.666666776"/>
    <n v="11765445"/>
    <n v="13194323.333333332"/>
    <n v="0"/>
    <n v="42410325"/>
    <x v="0"/>
    <n v="-30"/>
    <n v="0"/>
    <n v="0"/>
    <n v="0"/>
  </r>
  <r>
    <n v="1229"/>
    <x v="6"/>
    <s v="P9299558"/>
    <s v="75618 LMU INF LAQUE RESISTANCE 520"/>
    <x v="1"/>
    <n v="98600"/>
    <n v="213.00000000000028"/>
    <n v="147"/>
    <n v="179.33333333333334"/>
    <n v="540"/>
    <n v="0"/>
    <n v="27"/>
    <n v="0"/>
    <n v="27"/>
    <n v="57"/>
    <n v="117"/>
    <n v="90"/>
    <n v="540"/>
    <n v="90.334572490706307"/>
    <n v="118"/>
    <n v="57"/>
    <n v="118"/>
    <n v="0"/>
    <n v="70.260223048327134"/>
    <n v="0"/>
    <n v="21001800.00000003"/>
    <n v="14494200"/>
    <n v="17682266.666666668"/>
    <n v="2662200"/>
    <n v="53244000"/>
    <n v="91205"/>
    <n v="0"/>
    <n v="19426665.000000026"/>
    <n v="13407135"/>
    <n v="16356096.666666668"/>
    <n v="2462535"/>
    <n v="49250700"/>
    <x v="0"/>
    <n v="-57"/>
    <n v="0"/>
    <n v="0"/>
    <n v="0"/>
  </r>
  <r>
    <n v="1230"/>
    <x v="6"/>
    <s v="P9299559"/>
    <s v="75496 LMU INF LAQUE RESISTANCE 601"/>
    <x v="1"/>
    <n v="98600"/>
    <n v="217.66666666666595"/>
    <n v="163"/>
    <n v="182"/>
    <n v="486"/>
    <n v="0"/>
    <n v="24"/>
    <n v="0"/>
    <n v="24"/>
    <n v="36"/>
    <n v="117"/>
    <n v="90"/>
    <n v="486"/>
    <n v="80.109890109890102"/>
    <n v="199"/>
    <n v="36"/>
    <n v="199"/>
    <n v="0"/>
    <n v="57.197802197802204"/>
    <n v="0"/>
    <n v="21461933.333333261"/>
    <n v="16071800"/>
    <n v="17945200"/>
    <n v="2366400"/>
    <n v="47919600"/>
    <n v="91205"/>
    <n v="0"/>
    <n v="19852288.333333269"/>
    <n v="14866415"/>
    <n v="16599310"/>
    <n v="2188920"/>
    <n v="44325630"/>
    <x v="0"/>
    <n v="-36"/>
    <n v="0"/>
    <n v="0"/>
    <n v="0"/>
  </r>
  <r>
    <n v="1231"/>
    <x v="6"/>
    <s v="P9299560"/>
    <s v="75502 LMU INF LAQUE RESISTANCE 610"/>
    <x v="1"/>
    <n v="98600"/>
    <n v="121.6666666666666"/>
    <n v="56"/>
    <n v="83.666666666666671"/>
    <n v="820"/>
    <n v="0"/>
    <n v="21"/>
    <n v="0"/>
    <n v="21"/>
    <n v="24"/>
    <n v="117"/>
    <n v="90"/>
    <n v="820"/>
    <n v="294.02390438247011"/>
    <n v="0"/>
    <n v="24"/>
    <n v="0"/>
    <n v="0"/>
    <n v="281.47410358565736"/>
    <n v="0"/>
    <n v="11996333.333333327"/>
    <n v="5521600"/>
    <n v="8249533.333333334"/>
    <n v="2070600"/>
    <n v="80852000"/>
    <n v="91205"/>
    <n v="0"/>
    <n v="11096608.333333327"/>
    <n v="5107480"/>
    <n v="7630818.333333334"/>
    <n v="1915305"/>
    <n v="74788100"/>
    <x v="0"/>
    <n v="-24"/>
    <n v="0"/>
    <n v="0"/>
    <n v="0"/>
  </r>
  <r>
    <n v="1232"/>
    <x v="6"/>
    <s v="P9299561"/>
    <s v="75526 LMU INF LAQUE RESISTANCE 635"/>
    <x v="1"/>
    <n v="98600"/>
    <n v="315.99999999999875"/>
    <n v="204"/>
    <n v="263.66666666666669"/>
    <n v="553"/>
    <n v="0"/>
    <n v="24"/>
    <n v="0"/>
    <n v="18"/>
    <n v="324"/>
    <n v="117"/>
    <n v="90"/>
    <n v="553"/>
    <n v="62.920353982300881"/>
    <n v="424"/>
    <n v="330"/>
    <n v="424"/>
    <n v="0"/>
    <n v="41.757269279393171"/>
    <n v="0"/>
    <n v="31157599.999999877"/>
    <n v="20114400"/>
    <n v="25997533.333333336"/>
    <n v="1774800"/>
    <n v="54525800"/>
    <n v="91205"/>
    <n v="0"/>
    <n v="28820779.999999885"/>
    <n v="18605820"/>
    <n v="24047718.333333336"/>
    <n v="1641690"/>
    <n v="50436365"/>
    <x v="0"/>
    <n v="-330"/>
    <n v="0"/>
    <n v="0"/>
    <n v="0"/>
  </r>
  <r>
    <n v="1233"/>
    <x v="6"/>
    <s v="P9299562"/>
    <s v="75489 LMU INF LAQUE RESISTANCE 600"/>
    <x v="1"/>
    <n v="98600"/>
    <n v="140.33333333333269"/>
    <n v="64"/>
    <n v="102.33333333333333"/>
    <n v="629"/>
    <n v="0"/>
    <n v="51"/>
    <n v="0"/>
    <n v="21"/>
    <n v="30"/>
    <n v="117"/>
    <n v="90"/>
    <n v="629"/>
    <n v="184.39739413680783"/>
    <n v="0"/>
    <n v="60"/>
    <n v="0"/>
    <n v="0"/>
    <n v="171.79153094462541"/>
    <n v="0"/>
    <n v="13836866.666666603"/>
    <n v="6310400"/>
    <n v="10090066.666666666"/>
    <n v="2070600"/>
    <n v="62019400"/>
    <n v="91205"/>
    <n v="0"/>
    <n v="12799101.666666608"/>
    <n v="5837120"/>
    <n v="9333311.666666666"/>
    <n v="1915305"/>
    <n v="57367945"/>
    <x v="0"/>
    <n v="-60"/>
    <n v="0"/>
    <n v="0"/>
    <n v="0"/>
  </r>
  <r>
    <n v="1234"/>
    <x v="6"/>
    <s v="P9299563"/>
    <s v="27965 DEX UV AQUAFUSION BTL 50ML"/>
    <x v="1"/>
    <n v="126800"/>
    <n v="119.3333333333334"/>
    <n v="43"/>
    <n v="96"/>
    <n v="439"/>
    <n v="0"/>
    <n v="0"/>
    <n v="0"/>
    <n v="0"/>
    <n v="63"/>
    <n v="12"/>
    <n v="90"/>
    <n v="439"/>
    <n v="137.1875"/>
    <n v="0"/>
    <n v="63"/>
    <n v="63"/>
    <n v="0"/>
    <n v="123.75"/>
    <n v="0"/>
    <n v="15131466.666666675"/>
    <n v="5452400"/>
    <n v="12172800"/>
    <n v="0"/>
    <n v="55665200"/>
    <n v="117290"/>
    <n v="0"/>
    <n v="13996606.666666675"/>
    <n v="5043470"/>
    <n v="11259840"/>
    <n v="0"/>
    <n v="51490310"/>
    <x v="0"/>
    <n v="-63"/>
    <n v="0"/>
    <n v="0"/>
    <n v="0"/>
  </r>
  <r>
    <n v="1235"/>
    <x v="6"/>
    <s v="P9299564"/>
    <s v="28009 DEX UV AQUAFUSION TUBE 30ML"/>
    <x v="1"/>
    <n v="67000"/>
    <n v="88.999999999999702"/>
    <n v="51"/>
    <n v="77.666666666666657"/>
    <n v="1047"/>
    <n v="0"/>
    <n v="27"/>
    <n v="0"/>
    <n v="27"/>
    <n v="24"/>
    <n v="24"/>
    <n v="90"/>
    <n v="1047"/>
    <n v="404.42060085836914"/>
    <n v="0"/>
    <n v="24"/>
    <n v="0"/>
    <n v="0"/>
    <n v="395.15021459227472"/>
    <n v="0"/>
    <n v="5962999.9999999804"/>
    <n v="3417000"/>
    <n v="5203666.666666666"/>
    <n v="1809000"/>
    <n v="70149000"/>
    <n v="61975"/>
    <n v="0"/>
    <n v="5515774.9999999814"/>
    <n v="3160725"/>
    <n v="4813391.666666666"/>
    <n v="1673325"/>
    <n v="64887825"/>
    <x v="0"/>
    <n v="-24"/>
    <n v="0"/>
    <n v="0"/>
    <n v="0"/>
  </r>
  <r>
    <n v="1236"/>
    <x v="6"/>
    <s v="P9299565"/>
    <s v="79017 ELSEVE FALL RES SERUM 102ML"/>
    <x v="3"/>
    <n v="107400"/>
    <n v="2"/>
    <n v="7"/>
    <n v="4.3333333333333339"/>
    <n v="19"/>
    <n v="0"/>
    <n v="0"/>
    <n v="0"/>
    <n v="0"/>
    <n v="0"/>
    <n v="6"/>
    <n v="90"/>
    <n v="19"/>
    <n v="131.53846153846152"/>
    <n v="1"/>
    <n v="0"/>
    <n v="1"/>
    <n v="0"/>
    <n v="83.076923076923066"/>
    <n v="0"/>
    <n v="214800"/>
    <n v="751800"/>
    <n v="465400.00000000006"/>
    <n v="0"/>
    <n v="2040600"/>
    <n v="99345"/>
    <n v="0"/>
    <n v="198690"/>
    <n v="695415"/>
    <n v="430495.00000000006"/>
    <n v="0"/>
    <n v="1887555"/>
    <x v="0"/>
    <n v="0"/>
    <n v="0"/>
    <n v="0"/>
    <n v="0"/>
  </r>
  <r>
    <n v="1237"/>
    <x v="6"/>
    <s v="P9299566"/>
    <s v="30927 GAR  VITAMIN C DT CREAM 30 ML"/>
    <x v="3"/>
    <n v="33700"/>
    <n v="55.666666666666998"/>
    <n v="57"/>
    <n v="37.666666666666671"/>
    <n v="60"/>
    <n v="0"/>
    <n v="0"/>
    <n v="0"/>
    <n v="0"/>
    <n v="24"/>
    <n v="24"/>
    <n v="90"/>
    <n v="60"/>
    <n v="47.787610619469021"/>
    <n v="110"/>
    <n v="24"/>
    <n v="110"/>
    <n v="96"/>
    <n v="78.849557522123888"/>
    <n v="3235200"/>
    <n v="1875966.6666666779"/>
    <n v="1920900"/>
    <n v="1269366.6666666667"/>
    <n v="0"/>
    <n v="2022000"/>
    <n v="31173"/>
    <n v="2992608"/>
    <n v="1735297.0000000102"/>
    <n v="1776861"/>
    <n v="1174183.0000000002"/>
    <n v="0"/>
    <n v="1870380"/>
    <x v="0"/>
    <n v="72"/>
    <n v="0"/>
    <n v="0"/>
    <n v="0"/>
  </r>
  <r>
    <n v="1238"/>
    <x v="6"/>
    <s v="P9299567"/>
    <s v="31221 GAR SALICYLIC DT CREAM 30 ML"/>
    <x v="1"/>
    <n v="33700"/>
    <n v="14"/>
    <n v="17"/>
    <n v="16.666666666666664"/>
    <n v="373"/>
    <n v="0"/>
    <n v="0"/>
    <n v="0"/>
    <n v="0"/>
    <n v="0"/>
    <n v="24"/>
    <n v="90"/>
    <n v="373"/>
    <n v="671.40000000000009"/>
    <n v="0"/>
    <n v="0"/>
    <n v="0"/>
    <n v="0"/>
    <n v="640.80000000000007"/>
    <n v="0"/>
    <n v="471800"/>
    <n v="572900"/>
    <n v="561666.66666666663"/>
    <n v="0"/>
    <n v="12570100"/>
    <n v="31173"/>
    <n v="0"/>
    <n v="436422"/>
    <n v="529941"/>
    <n v="519549.99999999994"/>
    <n v="0"/>
    <n v="11627529"/>
    <x v="0"/>
    <n v="0"/>
    <n v="0"/>
    <n v="0"/>
    <n v="0"/>
  </r>
  <r>
    <n v="1239"/>
    <x v="6"/>
    <s v="P9299568"/>
    <s v="31429 GAR NIACINAMIDE DT CREAM 30ML"/>
    <x v="2"/>
    <n v="33700"/>
    <n v="19.333333333333002"/>
    <n v="39"/>
    <n v="22.333333333333332"/>
    <n v="223"/>
    <n v="0"/>
    <n v="0"/>
    <n v="0"/>
    <n v="0"/>
    <n v="0"/>
    <n v="24"/>
    <n v="90"/>
    <n v="223"/>
    <n v="299.55223880597015"/>
    <n v="0"/>
    <n v="0"/>
    <n v="0"/>
    <n v="0"/>
    <n v="247.16417910447763"/>
    <n v="0"/>
    <n v="651533.3333333222"/>
    <n v="1314300"/>
    <n v="752633.33333333326"/>
    <n v="0"/>
    <n v="7515100"/>
    <n v="31173"/>
    <n v="0"/>
    <n v="602677.99999998964"/>
    <n v="1215747"/>
    <n v="696197"/>
    <n v="0"/>
    <n v="6951579"/>
    <x v="0"/>
    <n v="0"/>
    <n v="0"/>
    <n v="0"/>
    <n v="0"/>
  </r>
  <r>
    <n v="1240"/>
    <x v="6"/>
    <s v="P9299569"/>
    <s v="29952 GAR MCLR EXFO 1%PHA+AHA 125ML"/>
    <x v="1"/>
    <n v="24200"/>
    <n v="32"/>
    <n v="0"/>
    <n v="-2"/>
    <n v="3897"/>
    <n v="0"/>
    <n v="0"/>
    <n v="0"/>
    <n v="0"/>
    <n v="0"/>
    <n v="24"/>
    <n v="90"/>
    <n v="3897"/>
    <n v="9999"/>
    <n v="0"/>
    <n v="0"/>
    <n v="0"/>
    <n v="0"/>
    <n v="9999"/>
    <n v="0"/>
    <n v="774400"/>
    <n v="0"/>
    <n v="-48400"/>
    <n v="0"/>
    <n v="94307400"/>
    <n v="22385"/>
    <n v="0"/>
    <n v="716320"/>
    <n v="0"/>
    <n v="-44770"/>
    <n v="0"/>
    <n v="87234345"/>
    <x v="0"/>
    <n v="0"/>
    <n v="0"/>
    <n v="0"/>
    <n v="0"/>
  </r>
  <r>
    <n v="1241"/>
    <x v="6"/>
    <s v="P9299570"/>
    <s v="29914 GAR MCLR EXFO 1%PHA+AHA 400ML"/>
    <x v="3"/>
    <n v="47200"/>
    <n v="32"/>
    <n v="47"/>
    <n v="27.666666666666668"/>
    <n v="48"/>
    <n v="0"/>
    <n v="0"/>
    <n v="0"/>
    <n v="0"/>
    <n v="0"/>
    <n v="6"/>
    <n v="90"/>
    <n v="48"/>
    <n v="52.048192771084338"/>
    <n v="82"/>
    <n v="0"/>
    <n v="82"/>
    <n v="78"/>
    <n v="85.662650602409641"/>
    <n v="3681600"/>
    <n v="1510400"/>
    <n v="2218400"/>
    <n v="1305866.6666666667"/>
    <n v="0"/>
    <n v="2265600"/>
    <n v="43660"/>
    <n v="3405480"/>
    <n v="1397120"/>
    <n v="2052020"/>
    <n v="1207926.6666666667"/>
    <n v="0"/>
    <n v="2095680"/>
    <x v="0"/>
    <n v="78"/>
    <n v="0"/>
    <n v="0"/>
    <n v="0"/>
  </r>
  <r>
    <n v="1242"/>
    <x v="6"/>
    <s v="P9299571"/>
    <s v="77148 SS LUMI MATTE FDT 110 18ML"/>
    <x v="1"/>
    <n v="60700"/>
    <n v="143.66666666666779"/>
    <n v="95"/>
    <n v="134.33333333333331"/>
    <n v="1287"/>
    <n v="0"/>
    <n v="18"/>
    <n v="0"/>
    <n v="18"/>
    <n v="204"/>
    <n v="90"/>
    <n v="90"/>
    <n v="1287"/>
    <n v="287.41935483870969"/>
    <n v="0"/>
    <n v="204"/>
    <n v="0"/>
    <n v="0"/>
    <n v="270.2233250620348"/>
    <n v="0"/>
    <n v="8720566.666666735"/>
    <n v="5766500"/>
    <n v="8154033.3333333321"/>
    <n v="1092600"/>
    <n v="78120900"/>
    <n v="56148"/>
    <n v="0"/>
    <n v="8066596.0000000633"/>
    <n v="5334060"/>
    <n v="7542547.9999999991"/>
    <n v="1010664"/>
    <n v="72262476"/>
    <x v="0"/>
    <n v="-204"/>
    <n v="0"/>
    <n v="0"/>
    <n v="0"/>
  </r>
  <r>
    <n v="1243"/>
    <x v="6"/>
    <s v="P9299572"/>
    <s v="77155 SS LUMI MATTE FDT 111 18ML"/>
    <x v="1"/>
    <n v="60700"/>
    <n v="210.3333333333338"/>
    <n v="110"/>
    <n v="172"/>
    <n v="3103"/>
    <n v="0"/>
    <n v="21"/>
    <n v="0"/>
    <n v="21"/>
    <n v="48"/>
    <n v="90"/>
    <n v="90"/>
    <n v="3103"/>
    <n v="541.2209302325582"/>
    <n v="0"/>
    <n v="48"/>
    <n v="0"/>
    <n v="0"/>
    <n v="525.69767441860461"/>
    <n v="0"/>
    <n v="12767233.333333362"/>
    <n v="6677000"/>
    <n v="10440400"/>
    <n v="1274700"/>
    <n v="188352100"/>
    <n v="56148"/>
    <n v="0"/>
    <n v="11809796.000000026"/>
    <n v="6176280"/>
    <n v="9657456"/>
    <n v="1179108"/>
    <n v="174227244"/>
    <x v="0"/>
    <n v="-48"/>
    <n v="0"/>
    <n v="0"/>
    <n v="0"/>
  </r>
  <r>
    <n v="1244"/>
    <x v="6"/>
    <s v="P9299573"/>
    <s v="77162 SS LUMI MATTE FDT 119 18ML"/>
    <x v="1"/>
    <n v="60700"/>
    <n v="202.666666666667"/>
    <n v="110"/>
    <n v="163"/>
    <n v="2963"/>
    <n v="0"/>
    <n v="15"/>
    <n v="0"/>
    <n v="15"/>
    <n v="36"/>
    <n v="90"/>
    <n v="90"/>
    <n v="2963"/>
    <n v="545.3374233128834"/>
    <n v="0"/>
    <n v="36"/>
    <n v="0"/>
    <n v="0"/>
    <n v="527.85276073619627"/>
    <n v="0"/>
    <n v="12301866.666666687"/>
    <n v="6677000"/>
    <n v="9894100"/>
    <n v="910500"/>
    <n v="179854100"/>
    <n v="56148"/>
    <n v="0"/>
    <n v="11379328.000000019"/>
    <n v="6176280"/>
    <n v="9152124"/>
    <n v="842220"/>
    <n v="166366524"/>
    <x v="0"/>
    <n v="-36"/>
    <n v="0"/>
    <n v="0"/>
    <n v="0"/>
  </r>
  <r>
    <n v="1245"/>
    <x v="6"/>
    <s v="P9299574"/>
    <s v="77179 SS LUMI MATTE FDT 120 18ML"/>
    <x v="1"/>
    <n v="60700"/>
    <n v="270.6666666666676"/>
    <n v="186"/>
    <n v="252.99999999999997"/>
    <n v="5559"/>
    <n v="0"/>
    <n v="24"/>
    <n v="0"/>
    <n v="18"/>
    <n v="12"/>
    <n v="90"/>
    <n v="90"/>
    <n v="5559"/>
    <n v="659.16996047430848"/>
    <n v="0"/>
    <n v="18"/>
    <n v="0"/>
    <n v="0"/>
    <n v="639.2490118577075"/>
    <n v="0"/>
    <n v="16429466.666666724"/>
    <n v="11290200"/>
    <n v="15357099.999999998"/>
    <n v="1092600"/>
    <n v="337431300"/>
    <n v="56148"/>
    <n v="0"/>
    <n v="15197392.000000052"/>
    <n v="10443528"/>
    <n v="14205443.999999998"/>
    <n v="1010664"/>
    <n v="312126732"/>
    <x v="0"/>
    <n v="-18"/>
    <n v="0"/>
    <n v="0"/>
    <n v="0"/>
  </r>
  <r>
    <n v="1246"/>
    <x v="6"/>
    <s v="P9299575"/>
    <s v="77186 SS LUMI MATTE FDT 128 18ML"/>
    <x v="1"/>
    <n v="60700"/>
    <n v="160.00000000000065"/>
    <n v="100"/>
    <n v="146.66666666666669"/>
    <n v="2901"/>
    <n v="0"/>
    <n v="18"/>
    <n v="0"/>
    <n v="18"/>
    <n v="15"/>
    <n v="90"/>
    <n v="90"/>
    <n v="2901"/>
    <n v="593.38636363636363"/>
    <n v="0"/>
    <n v="15"/>
    <n v="0"/>
    <n v="0"/>
    <n v="576.61363636363626"/>
    <n v="0"/>
    <n v="9712000.0000000391"/>
    <n v="6070000"/>
    <n v="8902666.6666666679"/>
    <n v="1092600"/>
    <n v="176090700"/>
    <n v="56148"/>
    <n v="0"/>
    <n v="8983680.0000000373"/>
    <n v="5614800"/>
    <n v="8235040.0000000009"/>
    <n v="1010664"/>
    <n v="162885348"/>
    <x v="0"/>
    <n v="-15"/>
    <n v="0"/>
    <n v="0"/>
    <n v="0"/>
  </r>
  <r>
    <n v="1247"/>
    <x v="6"/>
    <s v="P9299576"/>
    <s v="77193 SS LUMI MATTE FDT 220 18ML"/>
    <x v="1"/>
    <n v="60700"/>
    <n v="109.66666666666697"/>
    <n v="69"/>
    <n v="93.666666666666657"/>
    <n v="2834"/>
    <n v="0"/>
    <n v="0"/>
    <n v="0"/>
    <n v="0"/>
    <n v="9"/>
    <n v="90"/>
    <n v="90"/>
    <n v="2834"/>
    <n v="907.68683274021362"/>
    <n v="0"/>
    <n v="9"/>
    <n v="0"/>
    <n v="0"/>
    <n v="885.58718861209968"/>
    <n v="0"/>
    <n v="6656766.6666666847"/>
    <n v="4188300"/>
    <n v="5685566.666666666"/>
    <n v="0"/>
    <n v="172023800"/>
    <n v="56148"/>
    <n v="0"/>
    <n v="6157564.0000000168"/>
    <n v="3874212"/>
    <n v="5259195.9999999991"/>
    <n v="0"/>
    <n v="159123432"/>
    <x v="0"/>
    <n v="-9"/>
    <n v="0"/>
    <n v="0"/>
    <n v="0"/>
  </r>
  <r>
    <n v="1248"/>
    <x v="6"/>
    <s v="P9299577"/>
    <s v="77230 SPRSTY FLEX PWD FDT 110"/>
    <x v="1"/>
    <n v="112900"/>
    <n v="168.33333333333366"/>
    <n v="95"/>
    <n v="132.66666666666666"/>
    <n v="552"/>
    <n v="0"/>
    <n v="24"/>
    <n v="0"/>
    <n v="24"/>
    <n v="27"/>
    <n v="72"/>
    <n v="90"/>
    <n v="552"/>
    <n v="124.8241206030151"/>
    <n v="0"/>
    <n v="27"/>
    <n v="27"/>
    <n v="0"/>
    <n v="108.76884422110554"/>
    <n v="0"/>
    <n v="19004833.333333369"/>
    <n v="10725500"/>
    <n v="14978066.666666666"/>
    <n v="2709600"/>
    <n v="62320800"/>
    <n v="104433"/>
    <n v="0"/>
    <n v="17579555.000000034"/>
    <n v="9921135"/>
    <n v="13854777.999999998"/>
    <n v="2506392"/>
    <n v="57647016"/>
    <x v="0"/>
    <n v="-27"/>
    <n v="0"/>
    <n v="0"/>
    <n v="0"/>
  </r>
  <r>
    <n v="1249"/>
    <x v="6"/>
    <s v="P9299578"/>
    <s v="77247 SPRSTY FLEX PWD FDT 111"/>
    <x v="1"/>
    <n v="112900"/>
    <n v="198.66666666666691"/>
    <n v="96"/>
    <n v="169.00000000000003"/>
    <n v="697"/>
    <n v="0"/>
    <n v="36"/>
    <n v="0"/>
    <n v="36"/>
    <n v="27"/>
    <n v="72"/>
    <n v="90"/>
    <n v="697"/>
    <n v="123.72781065088755"/>
    <n v="0"/>
    <n v="27"/>
    <n v="27"/>
    <n v="0"/>
    <n v="113.07692307692307"/>
    <n v="0"/>
    <n v="22429466.666666694"/>
    <n v="10838400"/>
    <n v="19080100.000000004"/>
    <n v="4064400"/>
    <n v="78691300"/>
    <n v="104433"/>
    <n v="0"/>
    <n v="20747356.000000026"/>
    <n v="10025568"/>
    <n v="17649177.000000004"/>
    <n v="3759588"/>
    <n v="72789801"/>
    <x v="0"/>
    <n v="-27"/>
    <n v="0"/>
    <n v="0"/>
    <n v="0"/>
  </r>
  <r>
    <n v="1250"/>
    <x v="6"/>
    <s v="P9299579"/>
    <s v="77254 SPRSTY FLEX PWD FDT 115"/>
    <x v="1"/>
    <n v="112900"/>
    <n v="103.666666666667"/>
    <n v="57"/>
    <n v="84.000000000000014"/>
    <n v="1233"/>
    <n v="0"/>
    <n v="0"/>
    <n v="0"/>
    <n v="0"/>
    <n v="18"/>
    <n v="72"/>
    <n v="90"/>
    <n v="1233"/>
    <n v="440.35714285714278"/>
    <n v="0"/>
    <n v="18"/>
    <n v="0"/>
    <n v="0"/>
    <n v="419.99999999999994"/>
    <n v="0"/>
    <n v="11703966.666666703"/>
    <n v="6435300"/>
    <n v="9483600.0000000019"/>
    <n v="0"/>
    <n v="139205700"/>
    <n v="104433"/>
    <n v="0"/>
    <n v="10826221.000000035"/>
    <n v="5952681"/>
    <n v="8772372.0000000019"/>
    <n v="0"/>
    <n v="128765889"/>
    <x v="0"/>
    <n v="-18"/>
    <n v="0"/>
    <n v="0"/>
    <n v="0"/>
  </r>
  <r>
    <n v="1251"/>
    <x v="6"/>
    <s v="P9299580"/>
    <s v="77278 SPRSTY FLEX PWD FDT 120"/>
    <x v="1"/>
    <n v="112900"/>
    <n v="225.00000000000088"/>
    <n v="139"/>
    <n v="198"/>
    <n v="464"/>
    <n v="0"/>
    <n v="33"/>
    <n v="0"/>
    <n v="33"/>
    <n v="186"/>
    <n v="72"/>
    <n v="90"/>
    <n v="464"/>
    <n v="70.303030303030297"/>
    <n v="236"/>
    <n v="186"/>
    <n v="236"/>
    <n v="0"/>
    <n v="54.242424242424242"/>
    <n v="0"/>
    <n v="25402500.000000101"/>
    <n v="15693100"/>
    <n v="22354200"/>
    <n v="3725700"/>
    <n v="52385600"/>
    <n v="104433"/>
    <n v="0"/>
    <n v="23497425.000000093"/>
    <n v="14516187"/>
    <n v="20677734"/>
    <n v="3446289"/>
    <n v="48456912"/>
    <x v="0"/>
    <n v="-186"/>
    <n v="0"/>
    <n v="0"/>
    <n v="0"/>
  </r>
  <r>
    <n v="1252"/>
    <x v="6"/>
    <s v="P9299581"/>
    <s v="77292 SPRSTY FLEX PWD FDT 128"/>
    <x v="1"/>
    <n v="112900"/>
    <n v="138.00000000000037"/>
    <n v="57"/>
    <n v="111.66666666666667"/>
    <n v="814"/>
    <n v="0"/>
    <n v="21"/>
    <n v="0"/>
    <n v="15"/>
    <n v="15"/>
    <n v="72"/>
    <n v="90"/>
    <n v="814"/>
    <n v="218.68656716417911"/>
    <n v="0"/>
    <n v="21"/>
    <n v="0"/>
    <n v="0"/>
    <n v="207.40298507462686"/>
    <n v="0"/>
    <n v="15580200.000000041"/>
    <n v="6435300"/>
    <n v="12607166.666666668"/>
    <n v="1693500"/>
    <n v="91900600"/>
    <n v="104433"/>
    <n v="0"/>
    <n v="14411754.000000039"/>
    <n v="5952681"/>
    <n v="11661685"/>
    <n v="1566495"/>
    <n v="85008462"/>
    <x v="0"/>
    <n v="-21"/>
    <n v="0"/>
    <n v="0"/>
    <n v="0"/>
  </r>
  <r>
    <n v="1253"/>
    <x v="6"/>
    <s v="P9299582"/>
    <s v="77308 SPRSTY FLEX PWD FDT 220"/>
    <x v="1"/>
    <n v="112900"/>
    <n v="94.999999999999872"/>
    <n v="36"/>
    <n v="89.000000000000014"/>
    <n v="1423"/>
    <n v="0"/>
    <n v="0"/>
    <n v="0"/>
    <n v="0"/>
    <n v="3"/>
    <n v="72"/>
    <n v="90"/>
    <n v="1423"/>
    <n v="479.66292134831451"/>
    <n v="0"/>
    <n v="3"/>
    <n v="0"/>
    <n v="0"/>
    <n v="467.52808988764036"/>
    <n v="0"/>
    <n v="10725499.999999985"/>
    <n v="4064400"/>
    <n v="10048100.000000002"/>
    <n v="0"/>
    <n v="160656700"/>
    <n v="104433"/>
    <n v="0"/>
    <n v="9921134.999999987"/>
    <n v="3759588"/>
    <n v="9294537.0000000019"/>
    <n v="0"/>
    <n v="148608159"/>
    <x v="0"/>
    <n v="-3"/>
    <n v="0"/>
    <n v="0"/>
    <n v="0"/>
  </r>
  <r>
    <n v="1254"/>
    <x v="6"/>
    <s v="P9299583"/>
    <s v="77315 SPRSTY FLEX PWD FDT 228"/>
    <x v="1"/>
    <n v="112900"/>
    <n v="33.999999999999673"/>
    <n v="12"/>
    <n v="29.666666666666668"/>
    <n v="1070"/>
    <n v="0"/>
    <n v="0"/>
    <n v="0"/>
    <n v="0"/>
    <n v="0"/>
    <n v="72"/>
    <n v="90"/>
    <n v="1070"/>
    <n v="1082.0224719101122"/>
    <n v="0"/>
    <n v="0"/>
    <n v="0"/>
    <n v="0"/>
    <n v="1069.8876404494381"/>
    <n v="0"/>
    <n v="3838599.9999999632"/>
    <n v="1354800"/>
    <n v="3349366.666666667"/>
    <n v="0"/>
    <n v="120803000"/>
    <n v="104433"/>
    <n v="0"/>
    <n v="3550721.999999966"/>
    <n v="1253196"/>
    <n v="3098179"/>
    <n v="0"/>
    <n v="111743310"/>
    <x v="0"/>
    <n v="0"/>
    <n v="0"/>
    <n v="0"/>
    <n v="0"/>
  </r>
  <r>
    <n v="1255"/>
    <x v="6"/>
    <s v="P9299586"/>
    <s v="77261 SPRSTY FLEX PWD FDT 119"/>
    <x v="1"/>
    <n v="112900"/>
    <n v="98.666666666667027"/>
    <n v="76"/>
    <n v="74"/>
    <n v="1126"/>
    <n v="0"/>
    <n v="0"/>
    <n v="0"/>
    <n v="0"/>
    <n v="9"/>
    <n v="72"/>
    <n v="90"/>
    <n v="1126"/>
    <n v="456.48648648648646"/>
    <n v="0"/>
    <n v="9"/>
    <n v="0"/>
    <n v="0"/>
    <n v="425.67567567567568"/>
    <n v="0"/>
    <n v="11139466.666666707"/>
    <n v="8580400"/>
    <n v="8354600"/>
    <n v="0"/>
    <n v="127125400"/>
    <n v="104433"/>
    <n v="0"/>
    <n v="10304056.000000037"/>
    <n v="7936908"/>
    <n v="7728042"/>
    <n v="0"/>
    <n v="117591558"/>
    <x v="0"/>
    <n v="-9"/>
    <n v="0"/>
    <n v="0"/>
    <n v="0"/>
  </r>
  <r>
    <n v="1256"/>
    <x v="6"/>
    <s v="P9299587"/>
    <s v="63859 ELS HYALURON MOIST SHP 200ML"/>
    <x v="2"/>
    <n v="25100"/>
    <n v="14.66666666666667"/>
    <n v="37"/>
    <n v="22"/>
    <n v="381"/>
    <n v="0"/>
    <n v="0"/>
    <n v="0"/>
    <n v="0"/>
    <n v="0"/>
    <n v="24"/>
    <n v="90"/>
    <n v="381"/>
    <n v="519.5454545454545"/>
    <n v="0"/>
    <n v="0"/>
    <n v="0"/>
    <n v="0"/>
    <n v="469.09090909090912"/>
    <n v="0"/>
    <n v="368133.33333333343"/>
    <n v="928700"/>
    <n v="552200"/>
    <n v="0"/>
    <n v="9563100"/>
    <n v="23218"/>
    <n v="0"/>
    <n v="340530.66666666674"/>
    <n v="859066"/>
    <n v="510796"/>
    <n v="0"/>
    <n v="8846058"/>
    <x v="0"/>
    <n v="0"/>
    <n v="0"/>
    <n v="0"/>
    <n v="0"/>
  </r>
  <r>
    <n v="1257"/>
    <x v="6"/>
    <s v="P9299588"/>
    <s v="63774 ELS HYALURON PURE SHP 200ML"/>
    <x v="3"/>
    <n v="25100"/>
    <n v="34"/>
    <n v="68"/>
    <n v="37.666666666666664"/>
    <n v="137"/>
    <n v="0"/>
    <n v="0"/>
    <n v="0"/>
    <n v="0"/>
    <n v="24"/>
    <n v="24"/>
    <n v="90"/>
    <n v="137"/>
    <n v="109.11504424778761"/>
    <n v="44"/>
    <n v="24"/>
    <n v="44"/>
    <n v="0"/>
    <n v="54.955752212389385"/>
    <n v="0"/>
    <n v="853400"/>
    <n v="1706800"/>
    <n v="945433.33333333326"/>
    <n v="0"/>
    <n v="3438700"/>
    <n v="23218"/>
    <n v="0"/>
    <n v="789412"/>
    <n v="1578824"/>
    <n v="874544.66666666663"/>
    <n v="0"/>
    <n v="3180866"/>
    <x v="0"/>
    <n v="-24"/>
    <n v="0"/>
    <n v="0"/>
    <n v="0"/>
  </r>
  <r>
    <n v="1258"/>
    <x v="6"/>
    <s v="P9299589"/>
    <s v="63811 ELS HYALURON PURE COND 175ML"/>
    <x v="3"/>
    <n v="25100"/>
    <n v="10"/>
    <n v="31"/>
    <n v="20.333333333333332"/>
    <n v="224"/>
    <n v="0"/>
    <n v="0"/>
    <n v="0"/>
    <n v="0"/>
    <n v="24"/>
    <n v="24"/>
    <n v="90"/>
    <n v="224"/>
    <n v="330.49180327868851"/>
    <n v="0"/>
    <n v="24"/>
    <n v="0"/>
    <n v="0"/>
    <n v="284.75409836065575"/>
    <n v="0"/>
    <n v="251000"/>
    <n v="778100"/>
    <n v="510366.66666666663"/>
    <n v="0"/>
    <n v="5622400"/>
    <n v="23218"/>
    <n v="0"/>
    <n v="232180"/>
    <n v="719758"/>
    <n v="472099.33333333331"/>
    <n v="0"/>
    <n v="5200832"/>
    <x v="0"/>
    <n v="-24"/>
    <n v="0"/>
    <n v="0"/>
    <n v="0"/>
  </r>
  <r>
    <n v="1259"/>
    <x v="6"/>
    <s v="P9299590"/>
    <s v="63699 ELS TOTAL REPAIR SHP 200ML"/>
    <x v="2"/>
    <n v="25100"/>
    <n v="32"/>
    <n v="33"/>
    <n v="21"/>
    <n v="333"/>
    <n v="0"/>
    <n v="0"/>
    <n v="0"/>
    <n v="0"/>
    <n v="0"/>
    <n v="24"/>
    <n v="90"/>
    <n v="333"/>
    <n v="475.71428571428572"/>
    <n v="0"/>
    <n v="0"/>
    <n v="0"/>
    <n v="0"/>
    <n v="428.57142857142861"/>
    <n v="0"/>
    <n v="803200"/>
    <n v="828300"/>
    <n v="527100"/>
    <n v="0"/>
    <n v="8358300"/>
    <n v="23218"/>
    <n v="0"/>
    <n v="742976"/>
    <n v="766194"/>
    <n v="487578"/>
    <n v="0"/>
    <n v="7731594"/>
    <x v="0"/>
    <n v="0"/>
    <n v="0"/>
    <n v="0"/>
    <n v="0"/>
  </r>
  <r>
    <n v="1260"/>
    <x v="6"/>
    <s v="P9299591"/>
    <s v="63736 ELS  TOTAL REPAIR COND 175ML"/>
    <x v="1"/>
    <n v="25100"/>
    <n v="30"/>
    <n v="9"/>
    <n v="18.999999999999996"/>
    <n v="230"/>
    <n v="0"/>
    <n v="0"/>
    <n v="0"/>
    <n v="0"/>
    <n v="24"/>
    <n v="24"/>
    <n v="90"/>
    <n v="230"/>
    <n v="363.1578947368422"/>
    <n v="0"/>
    <n v="24"/>
    <n v="0"/>
    <n v="0"/>
    <n v="348.94736842105272"/>
    <n v="0"/>
    <n v="753000"/>
    <n v="225900"/>
    <n v="476899.99999999988"/>
    <n v="0"/>
    <n v="5773000"/>
    <n v="23218"/>
    <n v="0"/>
    <n v="696540"/>
    <n v="208962"/>
    <n v="441141.99999999994"/>
    <n v="0"/>
    <n v="5340140"/>
    <x v="0"/>
    <n v="-24"/>
    <n v="0"/>
    <n v="0"/>
    <n v="0"/>
  </r>
  <r>
    <n v="1261"/>
    <x v="6"/>
    <s v="P9299592"/>
    <s v="30804 ELS FALL RESIST SHP 200ML"/>
    <x v="3"/>
    <n v="25100"/>
    <n v="26"/>
    <n v="21"/>
    <n v="25"/>
    <n v="18"/>
    <n v="0"/>
    <n v="0"/>
    <n v="0"/>
    <n v="0"/>
    <n v="24"/>
    <n v="24"/>
    <n v="90"/>
    <n v="18"/>
    <n v="21.599999999999998"/>
    <n v="78"/>
    <n v="24"/>
    <n v="78"/>
    <n v="72"/>
    <n v="82.8"/>
    <n v="1807200"/>
    <n v="652600"/>
    <n v="527100"/>
    <n v="627500"/>
    <n v="0"/>
    <n v="451800"/>
    <n v="23218"/>
    <n v="1671696"/>
    <n v="603668"/>
    <n v="487578"/>
    <n v="580450"/>
    <n v="0"/>
    <n v="417924"/>
    <x v="0"/>
    <n v="48"/>
    <n v="0"/>
    <n v="0"/>
    <n v="0"/>
  </r>
  <r>
    <n v="1262"/>
    <x v="6"/>
    <s v="P9299593"/>
    <s v="30705 ELS FALL RESIST COND 175ML"/>
    <x v="3"/>
    <n v="25100"/>
    <n v="25"/>
    <n v="72"/>
    <n v="42"/>
    <n v="123"/>
    <n v="0"/>
    <n v="0"/>
    <n v="0"/>
    <n v="0"/>
    <n v="48"/>
    <n v="24"/>
    <n v="90"/>
    <n v="123"/>
    <n v="87.857142857142847"/>
    <n v="75"/>
    <n v="48"/>
    <n v="75"/>
    <n v="72"/>
    <n v="87.857142857142847"/>
    <n v="1807200"/>
    <n v="627500"/>
    <n v="1807200"/>
    <n v="1054200"/>
    <n v="0"/>
    <n v="3087300"/>
    <n v="23218"/>
    <n v="1671696"/>
    <n v="580450"/>
    <n v="1671696"/>
    <n v="975156"/>
    <n v="0"/>
    <n v="2855814"/>
    <x v="0"/>
    <n v="24"/>
    <n v="0"/>
    <n v="0"/>
    <n v="0"/>
  </r>
  <r>
    <n v="1263"/>
    <x v="6"/>
    <s v="P9299594"/>
    <s v="63897 ELS HYALURON MOIST COND 175ML"/>
    <x v="1"/>
    <n v="25100"/>
    <n v="14.66666666666667"/>
    <n v="4"/>
    <n v="16"/>
    <n v="308"/>
    <n v="0"/>
    <n v="0"/>
    <n v="0"/>
    <n v="0"/>
    <n v="24"/>
    <n v="24"/>
    <n v="90"/>
    <n v="308"/>
    <n v="577.5"/>
    <n v="0"/>
    <n v="24"/>
    <n v="0"/>
    <n v="0"/>
    <n v="570"/>
    <n v="0"/>
    <n v="368133.33333333343"/>
    <n v="100400"/>
    <n v="401600"/>
    <n v="0"/>
    <n v="7730800"/>
    <n v="23218"/>
    <n v="0"/>
    <n v="340530.66666666674"/>
    <n v="92872"/>
    <n v="371488"/>
    <n v="0"/>
    <n v="7151144"/>
    <x v="0"/>
    <n v="-24"/>
    <n v="0"/>
    <n v="0"/>
    <n v="0"/>
  </r>
  <r>
    <n v="1264"/>
    <x v="6"/>
    <s v="P9299595"/>
    <s v="30163 GAR MEN AF GEN CLEANSER 100ML"/>
    <x v="2"/>
    <n v="30000"/>
    <n v="8"/>
    <n v="189"/>
    <n v="64"/>
    <n v="1316"/>
    <n v="0"/>
    <n v="0"/>
    <n v="0"/>
    <n v="0"/>
    <n v="0"/>
    <n v="12"/>
    <n v="90"/>
    <n v="1316"/>
    <n v="616.875"/>
    <n v="0"/>
    <n v="0"/>
    <n v="0"/>
    <n v="0"/>
    <n v="528.28125"/>
    <n v="0"/>
    <n v="240000"/>
    <n v="5670000"/>
    <n v="1920000"/>
    <n v="0"/>
    <n v="39480000"/>
    <n v="27750"/>
    <n v="0"/>
    <n v="222000"/>
    <n v="5244750"/>
    <n v="1776000"/>
    <n v="0"/>
    <n v="36519000"/>
    <x v="0"/>
    <n v="0"/>
    <n v="0"/>
    <n v="0"/>
    <n v="0"/>
  </r>
  <r>
    <n v="1265"/>
    <x v="6"/>
    <s v="P9299596"/>
    <s v="72257 ELS GLYCOLIC GLOSS SHP 200ML"/>
    <x v="3"/>
    <n v="25100"/>
    <n v="51"/>
    <n v="66"/>
    <n v="50"/>
    <n v="16"/>
    <n v="0"/>
    <n v="0"/>
    <n v="0"/>
    <n v="0"/>
    <n v="48"/>
    <n v="24"/>
    <n v="90"/>
    <n v="16"/>
    <n v="9.6"/>
    <n v="200"/>
    <n v="48"/>
    <n v="200"/>
    <n v="192"/>
    <n v="85.199999999999989"/>
    <n v="4819200"/>
    <n v="1280100"/>
    <n v="1656600"/>
    <n v="1255000"/>
    <n v="0"/>
    <n v="401600"/>
    <n v="23218"/>
    <n v="4457856"/>
    <n v="1184118"/>
    <n v="1532388"/>
    <n v="1160900"/>
    <n v="0"/>
    <n v="371488"/>
    <x v="0"/>
    <n v="144"/>
    <n v="0"/>
    <n v="0"/>
    <n v="0"/>
  </r>
  <r>
    <n v="1266"/>
    <x v="6"/>
    <s v="P9299597"/>
    <s v="72295 ELS GLYCOLIC GLOSS COND 175ML"/>
    <x v="3"/>
    <n v="25100"/>
    <n v="29.333333333333329"/>
    <n v="69"/>
    <n v="50"/>
    <n v="37"/>
    <n v="0"/>
    <n v="48"/>
    <n v="0"/>
    <n v="48"/>
    <n v="0"/>
    <n v="24"/>
    <n v="90"/>
    <n v="37"/>
    <n v="22.2"/>
    <n v="134"/>
    <n v="0"/>
    <n v="134"/>
    <n v="120"/>
    <n v="81.600000000000009"/>
    <n v="3012000"/>
    <n v="736266.66666666651"/>
    <n v="1731900"/>
    <n v="1255000"/>
    <n v="1204800"/>
    <n v="928700"/>
    <n v="23218"/>
    <n v="2786160"/>
    <n v="681061.33333333326"/>
    <n v="1602042"/>
    <n v="1160900"/>
    <n v="1114464"/>
    <n v="859066"/>
    <x v="0"/>
    <n v="120"/>
    <n v="0"/>
    <n v="0"/>
    <n v="0"/>
  </r>
  <r>
    <n v="1267"/>
    <x v="6"/>
    <s v="P9299598"/>
    <s v="82234 SPRSTY BABY CUSH 110.5   "/>
    <x v="1"/>
    <n v="126100"/>
    <n v="72.000000000000369"/>
    <n v="47"/>
    <n v="53.666666666666671"/>
    <n v="579"/>
    <n v="0"/>
    <n v="0"/>
    <n v="0"/>
    <n v="0"/>
    <n v="6"/>
    <n v="72"/>
    <n v="90"/>
    <n v="579"/>
    <n v="323.66459627329192"/>
    <n v="0"/>
    <n v="6"/>
    <n v="0"/>
    <n v="0"/>
    <n v="297.39130434782606"/>
    <n v="0"/>
    <n v="9079200.0000000466"/>
    <n v="5926700"/>
    <n v="6767366.666666667"/>
    <n v="0"/>
    <n v="73011900"/>
    <n v="116643"/>
    <n v="0"/>
    <n v="8398296.0000000428"/>
    <n v="5482221"/>
    <n v="6259841.0000000009"/>
    <n v="0"/>
    <n v="67536297"/>
    <x v="0"/>
    <n v="-6"/>
    <n v="0"/>
    <n v="0"/>
    <n v="0"/>
  </r>
  <r>
    <n v="1268"/>
    <x v="6"/>
    <s v="P9299599"/>
    <s v="82241 SPRSTY BABY CUSH 111.5   "/>
    <x v="1"/>
    <n v="126100"/>
    <n v="73.333333333333243"/>
    <n v="47"/>
    <n v="55.333333333333329"/>
    <n v="603"/>
    <n v="0"/>
    <n v="0"/>
    <n v="0"/>
    <n v="0"/>
    <n v="24"/>
    <n v="72"/>
    <n v="90"/>
    <n v="603"/>
    <n v="326.92771084337352"/>
    <n v="0"/>
    <n v="24"/>
    <n v="0"/>
    <n v="0"/>
    <n v="301.44578313253015"/>
    <n v="0"/>
    <n v="9247333.3333333228"/>
    <n v="5926700"/>
    <n v="6977533.333333333"/>
    <n v="0"/>
    <n v="76038300"/>
    <n v="116643"/>
    <n v="0"/>
    <n v="8553819.9999999888"/>
    <n v="5482221"/>
    <n v="6454245.9999999991"/>
    <n v="0"/>
    <n v="70335729"/>
    <x v="0"/>
    <n v="-24"/>
    <n v="0"/>
    <n v="0"/>
    <n v="0"/>
  </r>
  <r>
    <n v="1269"/>
    <x v="6"/>
    <s v="P9299600"/>
    <s v="82265 SPRSTY BABY CUSH 118.5   "/>
    <x v="1"/>
    <n v="126100"/>
    <n v="86.000000000000071"/>
    <n v="61"/>
    <n v="67.333333333333329"/>
    <n v="710"/>
    <n v="0"/>
    <n v="0"/>
    <n v="0"/>
    <n v="0"/>
    <n v="6"/>
    <n v="72"/>
    <n v="90"/>
    <n v="710"/>
    <n v="316.3366336633664"/>
    <n v="0"/>
    <n v="6"/>
    <n v="0"/>
    <n v="0"/>
    <n v="289.15841584158414"/>
    <n v="0"/>
    <n v="10844600.000000009"/>
    <n v="7692100"/>
    <n v="8490733.3333333321"/>
    <n v="0"/>
    <n v="89531000"/>
    <n v="116643"/>
    <n v="0"/>
    <n v="10031298.000000007"/>
    <n v="7115223"/>
    <n v="7853961.9999999991"/>
    <n v="0"/>
    <n v="82816530"/>
    <x v="0"/>
    <n v="-6"/>
    <n v="0"/>
    <n v="0"/>
    <n v="0"/>
  </r>
  <r>
    <n v="1270"/>
    <x v="6"/>
    <s v="P9299601"/>
    <s v="82272 SPRSTY BABY CUSH 120   "/>
    <x v="1"/>
    <n v="126100"/>
    <n v="114.9999999999999"/>
    <n v="87"/>
    <n v="101.00000000000001"/>
    <n v="655"/>
    <n v="0"/>
    <n v="0"/>
    <n v="0"/>
    <n v="0"/>
    <n v="12"/>
    <n v="72"/>
    <n v="90"/>
    <n v="655"/>
    <n v="194.55445544554451"/>
    <n v="0"/>
    <n v="12"/>
    <n v="0"/>
    <n v="0"/>
    <n v="168.71287128712868"/>
    <n v="0"/>
    <n v="14501499.999999987"/>
    <n v="10970700"/>
    <n v="12736100.000000002"/>
    <n v="0"/>
    <n v="82595500"/>
    <n v="116643"/>
    <n v="0"/>
    <n v="13413944.999999989"/>
    <n v="10147941"/>
    <n v="11780943.000000002"/>
    <n v="0"/>
    <n v="76401165"/>
    <x v="0"/>
    <n v="-12"/>
    <n v="0"/>
    <n v="0"/>
    <n v="0"/>
  </r>
  <r>
    <n v="1271"/>
    <x v="6"/>
    <s v="P9299602"/>
    <s v="82289 SPRSTY BABY CUSH 120.5   "/>
    <x v="1"/>
    <n v="126100"/>
    <n v="97.666666666667396"/>
    <n v="54"/>
    <n v="73.333333333333343"/>
    <n v="620"/>
    <n v="0"/>
    <n v="0"/>
    <n v="0"/>
    <n v="0"/>
    <n v="9"/>
    <n v="72"/>
    <n v="90"/>
    <n v="620"/>
    <n v="253.6363636363636"/>
    <n v="0"/>
    <n v="9"/>
    <n v="0"/>
    <n v="0"/>
    <n v="231.5454545454545"/>
    <n v="0"/>
    <n v="12315766.666666759"/>
    <n v="6809400"/>
    <n v="9247333.333333334"/>
    <n v="0"/>
    <n v="78182000"/>
    <n v="116643"/>
    <n v="0"/>
    <n v="11392133.000000086"/>
    <n v="6298722"/>
    <n v="8553820.0000000019"/>
    <n v="0"/>
    <n v="72318660"/>
    <x v="0"/>
    <n v="-9"/>
    <n v="0"/>
    <n v="0"/>
    <n v="0"/>
  </r>
  <r>
    <n v="1272"/>
    <x v="6"/>
    <s v="P9299603"/>
    <s v="82296 SPRSTY BABY CUSH 123.5   "/>
    <x v="1"/>
    <n v="126100"/>
    <n v="64.000000000000469"/>
    <n v="39"/>
    <n v="58.333333333333329"/>
    <n v="693"/>
    <n v="0"/>
    <n v="0"/>
    <n v="0"/>
    <n v="0"/>
    <n v="3"/>
    <n v="72"/>
    <n v="90"/>
    <n v="693"/>
    <n v="356.40000000000003"/>
    <n v="0"/>
    <n v="3"/>
    <n v="0"/>
    <n v="0"/>
    <n v="336.34285714285716"/>
    <n v="0"/>
    <n v="8070400.0000000587"/>
    <n v="4917900"/>
    <n v="7355833.333333333"/>
    <n v="0"/>
    <n v="87387300"/>
    <n v="116643"/>
    <n v="0"/>
    <n v="7465152.0000000549"/>
    <n v="4549077"/>
    <n v="6804174.9999999991"/>
    <n v="0"/>
    <n v="80833599"/>
    <x v="0"/>
    <n v="-3"/>
    <n v="0"/>
    <n v="0"/>
    <n v="0"/>
  </r>
  <r>
    <n v="1273"/>
    <x v="6"/>
    <s v="P9299604"/>
    <s v="82302 SPRSTY BABY CUSH 128   "/>
    <x v="1"/>
    <n v="126100"/>
    <n v="73.333333333332703"/>
    <n v="50"/>
    <n v="64.333333333333343"/>
    <n v="620"/>
    <n v="0"/>
    <n v="3"/>
    <n v="0"/>
    <n v="0"/>
    <n v="9"/>
    <n v="72"/>
    <n v="90"/>
    <n v="620"/>
    <n v="289.11917098445593"/>
    <n v="0"/>
    <n v="12"/>
    <n v="0"/>
    <n v="0"/>
    <n v="265.80310880829012"/>
    <n v="0"/>
    <n v="9247333.3333332539"/>
    <n v="6305000"/>
    <n v="8112433.3333333349"/>
    <n v="0"/>
    <n v="78182000"/>
    <n v="116643"/>
    <n v="0"/>
    <n v="8553819.9999999274"/>
    <n v="5832150"/>
    <n v="7504033.0000000009"/>
    <n v="0"/>
    <n v="72318660"/>
    <x v="0"/>
    <n v="-12"/>
    <n v="0"/>
    <n v="0"/>
    <n v="0"/>
  </r>
  <r>
    <n v="1274"/>
    <x v="6"/>
    <s v="P9299605"/>
    <s v="82319 SPRSTY BABY CUSH 132   "/>
    <x v="1"/>
    <n v="126100"/>
    <n v="46.333333333333343"/>
    <n v="23"/>
    <n v="40.333333333333336"/>
    <n v="688"/>
    <n v="0"/>
    <n v="0"/>
    <n v="0"/>
    <n v="0"/>
    <n v="0"/>
    <n v="72"/>
    <n v="90"/>
    <n v="688"/>
    <n v="511.73553719008265"/>
    <n v="0"/>
    <n v="0"/>
    <n v="0"/>
    <n v="0"/>
    <n v="494.62809917355366"/>
    <n v="0"/>
    <n v="5842633.3333333349"/>
    <n v="2900300"/>
    <n v="5086033.333333334"/>
    <n v="0"/>
    <n v="86756800"/>
    <n v="116643"/>
    <n v="0"/>
    <n v="5404459.0000000009"/>
    <n v="2682789"/>
    <n v="4704601"/>
    <n v="0"/>
    <n v="80250384"/>
    <x v="0"/>
    <n v="0"/>
    <n v="0"/>
    <n v="0"/>
    <n v="0"/>
  </r>
  <r>
    <n v="1275"/>
    <x v="6"/>
    <s v="P9299606"/>
    <s v="82333 SPRSTY BABY CUSH 220   "/>
    <x v="1"/>
    <n v="126100"/>
    <n v="41.666666666666671"/>
    <n v="17"/>
    <n v="40.666666666666664"/>
    <n v="711"/>
    <n v="0"/>
    <n v="3"/>
    <n v="0"/>
    <n v="0"/>
    <n v="3"/>
    <n v="72"/>
    <n v="90"/>
    <n v="711"/>
    <n v="524.50819672131149"/>
    <n v="0"/>
    <n v="6"/>
    <n v="0"/>
    <n v="0"/>
    <n v="511.9672131147542"/>
    <n v="0"/>
    <n v="5254166.666666667"/>
    <n v="2143700"/>
    <n v="5128066.666666666"/>
    <n v="0"/>
    <n v="89657100"/>
    <n v="116643"/>
    <n v="0"/>
    <n v="4860125.0000000009"/>
    <n v="1982931"/>
    <n v="4743482"/>
    <n v="0"/>
    <n v="82933173"/>
    <x v="0"/>
    <n v="-6"/>
    <n v="0"/>
    <n v="0"/>
    <n v="0"/>
  </r>
  <r>
    <n v="1276"/>
    <x v="6"/>
    <s v="P9299607"/>
    <s v="82340 SPRSTY BABY CUSH 230.5"/>
    <x v="1"/>
    <n v="126100"/>
    <n v="22.666666666666728"/>
    <n v="13"/>
    <n v="18"/>
    <n v="609"/>
    <n v="0"/>
    <n v="0"/>
    <n v="0"/>
    <n v="0"/>
    <n v="0"/>
    <n v="72"/>
    <n v="90"/>
    <n v="609"/>
    <n v="1015.0000000000001"/>
    <n v="0"/>
    <n v="0"/>
    <n v="0"/>
    <n v="0"/>
    <n v="993.33333333333348"/>
    <n v="0"/>
    <n v="2858266.6666666744"/>
    <n v="1639300"/>
    <n v="2269800"/>
    <n v="0"/>
    <n v="76794900"/>
    <n v="116643"/>
    <n v="0"/>
    <n v="2643908.000000007"/>
    <n v="1516359"/>
    <n v="2099574"/>
    <n v="0"/>
    <n v="71035587"/>
    <x v="0"/>
    <n v="0"/>
    <n v="0"/>
    <n v="0"/>
    <n v="0"/>
  </r>
  <r>
    <n v="1277"/>
    <x v="6"/>
    <s v="P9299608"/>
    <s v="82470 SPRSTY BABY CUSH 110.5 REF   "/>
    <x v="1"/>
    <n v="81900"/>
    <n v="52.333333333333428"/>
    <n v="33"/>
    <n v="36.666666666666671"/>
    <n v="372"/>
    <n v="0"/>
    <n v="0"/>
    <n v="0"/>
    <n v="0"/>
    <n v="15"/>
    <n v="96"/>
    <n v="90"/>
    <n v="372"/>
    <n v="304.36363636363632"/>
    <n v="0"/>
    <n v="15"/>
    <n v="0"/>
    <n v="0"/>
    <n v="277.36363636363632"/>
    <n v="0"/>
    <n v="4286100.0000000075"/>
    <n v="2702700"/>
    <n v="3003000.0000000005"/>
    <n v="0"/>
    <n v="30466800"/>
    <n v="75758"/>
    <n v="0"/>
    <n v="3964668.666666674"/>
    <n v="2500014"/>
    <n v="2777793.3333333335"/>
    <n v="0"/>
    <n v="28181976"/>
    <x v="0"/>
    <n v="-15"/>
    <n v="0"/>
    <n v="0"/>
    <n v="0"/>
  </r>
  <r>
    <n v="1278"/>
    <x v="6"/>
    <s v="P9299609"/>
    <s v="82487 SPRSTY BABY CUSH 111.5 REF   "/>
    <x v="1"/>
    <n v="81900"/>
    <n v="38.333333333333371"/>
    <n v="22"/>
    <n v="25.666666666666668"/>
    <n v="456"/>
    <n v="0"/>
    <n v="3"/>
    <n v="0"/>
    <n v="0"/>
    <n v="9"/>
    <n v="96"/>
    <n v="90"/>
    <n v="456"/>
    <n v="532.98701298701292"/>
    <n v="0"/>
    <n v="12"/>
    <n v="0"/>
    <n v="0"/>
    <n v="507.27272727272731"/>
    <n v="0"/>
    <n v="3139500.0000000033"/>
    <n v="1801800"/>
    <n v="2102100"/>
    <n v="0"/>
    <n v="37346400"/>
    <n v="75758"/>
    <n v="0"/>
    <n v="2904056.6666666693"/>
    <n v="1666676"/>
    <n v="1944455.3333333335"/>
    <n v="0"/>
    <n v="34545648"/>
    <x v="0"/>
    <n v="-12"/>
    <n v="0"/>
    <n v="0"/>
    <n v="0"/>
  </r>
  <r>
    <n v="1279"/>
    <x v="6"/>
    <s v="P9299610"/>
    <s v="82500 SPRSTY BABY CUSH 118.5 REF   "/>
    <x v="1"/>
    <n v="81900"/>
    <n v="63.999999999999972"/>
    <n v="28"/>
    <n v="48.333333333333343"/>
    <n v="477"/>
    <n v="0"/>
    <n v="0"/>
    <n v="0"/>
    <n v="0"/>
    <n v="18"/>
    <n v="96"/>
    <n v="90"/>
    <n v="477"/>
    <n v="296.06896551724134"/>
    <n v="0"/>
    <n v="18"/>
    <n v="0"/>
    <n v="0"/>
    <n v="278.68965517241372"/>
    <n v="0"/>
    <n v="5241599.9999999981"/>
    <n v="2293200"/>
    <n v="3958500.0000000009"/>
    <n v="0"/>
    <n v="39066300"/>
    <n v="75758"/>
    <n v="0"/>
    <n v="4848511.9999999981"/>
    <n v="2121224"/>
    <n v="3661636.6666666674"/>
    <n v="0"/>
    <n v="36136566"/>
    <x v="0"/>
    <n v="-18"/>
    <n v="0"/>
    <n v="0"/>
    <n v="0"/>
  </r>
  <r>
    <n v="1280"/>
    <x v="6"/>
    <s v="P9299611"/>
    <s v="82517 SPRSTY BABY CUSH 120 REF   "/>
    <x v="1"/>
    <n v="81900"/>
    <n v="58.33333333333357"/>
    <n v="40"/>
    <n v="43.666666666666664"/>
    <n v="1019"/>
    <n v="0"/>
    <n v="3"/>
    <n v="0"/>
    <n v="0"/>
    <n v="15"/>
    <n v="96"/>
    <n v="90"/>
    <n v="1019"/>
    <n v="700.07633587786268"/>
    <n v="0"/>
    <n v="18"/>
    <n v="0"/>
    <n v="0"/>
    <n v="672.59541984732834"/>
    <n v="0"/>
    <n v="4777500.0000000196"/>
    <n v="3276000"/>
    <n v="3576300"/>
    <n v="0"/>
    <n v="83456100"/>
    <n v="75758"/>
    <n v="0"/>
    <n v="4419216.6666666847"/>
    <n v="3030320"/>
    <n v="3308099.333333333"/>
    <n v="0"/>
    <n v="77197402"/>
    <x v="0"/>
    <n v="-18"/>
    <n v="0"/>
    <n v="0"/>
    <n v="0"/>
  </r>
  <r>
    <n v="1281"/>
    <x v="6"/>
    <s v="P9299612"/>
    <s v="82524 SPRSTY BABY CUSH 120.5 REF   "/>
    <x v="1"/>
    <n v="81900"/>
    <n v="67.666666666666828"/>
    <n v="40"/>
    <n v="47.333333333333329"/>
    <n v="473"/>
    <n v="0"/>
    <n v="0"/>
    <n v="0"/>
    <n v="0"/>
    <n v="9"/>
    <n v="96"/>
    <n v="90"/>
    <n v="473"/>
    <n v="299.78873239436621"/>
    <n v="0"/>
    <n v="9"/>
    <n v="0"/>
    <n v="0"/>
    <n v="274.43661971830988"/>
    <n v="0"/>
    <n v="5541900.000000013"/>
    <n v="3276000"/>
    <n v="3876599.9999999995"/>
    <n v="0"/>
    <n v="38738700"/>
    <n v="75758"/>
    <n v="0"/>
    <n v="5126291.3333333451"/>
    <n v="3030320"/>
    <n v="3585878.6666666665"/>
    <n v="0"/>
    <n v="35833534"/>
    <x v="0"/>
    <n v="-9"/>
    <n v="0"/>
    <n v="0"/>
    <n v="0"/>
  </r>
  <r>
    <n v="1282"/>
    <x v="6"/>
    <s v="P9299613"/>
    <s v="82531 SPRSTY BABY CUSH 123.5 REF   "/>
    <x v="1"/>
    <n v="81900"/>
    <n v="40.999999999999972"/>
    <n v="23"/>
    <n v="31"/>
    <n v="661"/>
    <n v="0"/>
    <n v="0"/>
    <n v="0"/>
    <n v="0"/>
    <n v="6"/>
    <n v="96"/>
    <n v="90"/>
    <n v="661"/>
    <n v="639.67741935483878"/>
    <n v="0"/>
    <n v="6"/>
    <n v="0"/>
    <n v="0"/>
    <n v="617.41935483870975"/>
    <n v="0"/>
    <n v="3357899.9999999977"/>
    <n v="1883700"/>
    <n v="2538900"/>
    <n v="0"/>
    <n v="54135900"/>
    <n v="75758"/>
    <n v="0"/>
    <n v="3106077.9999999977"/>
    <n v="1742434"/>
    <n v="2348498"/>
    <n v="0"/>
    <n v="50076038"/>
    <x v="0"/>
    <n v="-6"/>
    <n v="0"/>
    <n v="0"/>
    <n v="0"/>
  </r>
  <r>
    <n v="1283"/>
    <x v="6"/>
    <s v="P9299614"/>
    <s v="82548 SPRSTY BABY CUSH 128 REF   "/>
    <x v="1"/>
    <n v="81900"/>
    <n v="37.333333333333229"/>
    <n v="21"/>
    <n v="25.999999999999996"/>
    <n v="528"/>
    <n v="0"/>
    <n v="0"/>
    <n v="0"/>
    <n v="0"/>
    <n v="9"/>
    <n v="96"/>
    <n v="90"/>
    <n v="528"/>
    <n v="609.23076923076928"/>
    <n v="0"/>
    <n v="9"/>
    <n v="0"/>
    <n v="0"/>
    <n v="585.00000000000011"/>
    <n v="0"/>
    <n v="3057599.9999999916"/>
    <n v="1719900"/>
    <n v="2129399.9999999995"/>
    <n v="0"/>
    <n v="43243200"/>
    <n v="75758"/>
    <n v="0"/>
    <n v="2828298.6666666586"/>
    <n v="1590918"/>
    <n v="1969707.9999999998"/>
    <n v="0"/>
    <n v="40000224"/>
    <x v="0"/>
    <n v="-9"/>
    <n v="0"/>
    <n v="0"/>
    <n v="0"/>
  </r>
  <r>
    <n v="1284"/>
    <x v="6"/>
    <s v="P9299615"/>
    <s v="82555 SPRSTY BABY CUSH 132 REF   "/>
    <x v="1"/>
    <n v="81900"/>
    <n v="12.99999999999994"/>
    <n v="8"/>
    <n v="11"/>
    <n v="668"/>
    <n v="0"/>
    <n v="0"/>
    <n v="0"/>
    <n v="0"/>
    <n v="0"/>
    <n v="96"/>
    <n v="90"/>
    <n v="668"/>
    <n v="1821.8181818181818"/>
    <n v="0"/>
    <n v="0"/>
    <n v="0"/>
    <n v="0"/>
    <n v="1800"/>
    <n v="0"/>
    <n v="1064699.9999999951"/>
    <n v="655200"/>
    <n v="900900"/>
    <n v="0"/>
    <n v="54709200"/>
    <n v="75758"/>
    <n v="0"/>
    <n v="984853.99999999546"/>
    <n v="606064"/>
    <n v="833338"/>
    <n v="0"/>
    <n v="50606344"/>
    <x v="0"/>
    <n v="0"/>
    <n v="0"/>
    <n v="0"/>
    <n v="0"/>
  </r>
  <r>
    <n v="1285"/>
    <x v="6"/>
    <s v="P9299616"/>
    <s v="82579 SPRSTY BABY CUSH 220 REF   "/>
    <x v="1"/>
    <n v="81900"/>
    <n v="14.666666666666639"/>
    <n v="12"/>
    <n v="11.333333333333334"/>
    <n v="661"/>
    <n v="0"/>
    <n v="0"/>
    <n v="0"/>
    <n v="0"/>
    <n v="0"/>
    <n v="96"/>
    <n v="90"/>
    <n v="661"/>
    <n v="1749.705882352941"/>
    <n v="0"/>
    <n v="0"/>
    <n v="0"/>
    <n v="0"/>
    <n v="1717.9411764705881"/>
    <n v="0"/>
    <n v="1201199.9999999977"/>
    <n v="982800"/>
    <n v="928200"/>
    <n v="0"/>
    <n v="54135900"/>
    <n v="75758"/>
    <n v="0"/>
    <n v="1111117.3333333312"/>
    <n v="909096"/>
    <n v="858590.66666666674"/>
    <n v="0"/>
    <n v="50076038"/>
    <x v="0"/>
    <n v="0"/>
    <n v="0"/>
    <n v="0"/>
    <n v="0"/>
  </r>
  <r>
    <n v="1286"/>
    <x v="6"/>
    <s v="P9299617"/>
    <s v="82586 SPRSTY BB CUSH 230.5 REF"/>
    <x v="1"/>
    <n v="81900"/>
    <n v="5.6666666666666998"/>
    <n v="9"/>
    <n v="4"/>
    <n v="321"/>
    <n v="0"/>
    <n v="0"/>
    <n v="0"/>
    <n v="0"/>
    <n v="6"/>
    <n v="96"/>
    <n v="90"/>
    <n v="321"/>
    <n v="2407.5"/>
    <n v="0"/>
    <n v="6"/>
    <n v="0"/>
    <n v="0"/>
    <n v="2340"/>
    <n v="0"/>
    <n v="464100.00000000274"/>
    <n v="737100"/>
    <n v="327600"/>
    <n v="0"/>
    <n v="26289900"/>
    <n v="75758"/>
    <n v="0"/>
    <n v="429295.33333333582"/>
    <n v="681822"/>
    <n v="303032"/>
    <n v="0"/>
    <n v="24318318"/>
    <x v="0"/>
    <n v="-6"/>
    <n v="0"/>
    <n v="0"/>
    <n v="0"/>
  </r>
  <r>
    <n v="1287"/>
    <x v="6"/>
    <s v="P9299618"/>
    <s v="77599 LIFTER GLAZE 002 PINK DRIP"/>
    <x v="4"/>
    <n v="62400"/>
    <n v="118.9999999999997"/>
    <n v="71"/>
    <n v="89.666666666666671"/>
    <n v="875"/>
    <n v="0"/>
    <n v="45"/>
    <n v="0"/>
    <n v="45"/>
    <n v="12"/>
    <n v="135"/>
    <n v="90"/>
    <n v="875"/>
    <n v="292.75092936802974"/>
    <n v="0"/>
    <n v="12"/>
    <n v="0"/>
    <n v="0"/>
    <n v="284.05204460966542"/>
    <n v="0"/>
    <n v="7425599.9999999814"/>
    <n v="4430400"/>
    <n v="5595200"/>
    <n v="2808000"/>
    <n v="54600000"/>
    <n v="57720"/>
    <n v="0"/>
    <n v="6868679.9999999832"/>
    <n v="4098120"/>
    <n v="5175560"/>
    <n v="2597400"/>
    <n v="50505000"/>
    <x v="0"/>
    <n v="-12"/>
    <n v="0"/>
    <n v="0"/>
    <n v="0"/>
  </r>
  <r>
    <n v="1288"/>
    <x v="6"/>
    <s v="P9299619"/>
    <s v="77575 LIFTER GLAZE 003 ROSE BITE"/>
    <x v="4"/>
    <n v="62400"/>
    <n v="334.33333333333337"/>
    <n v="211"/>
    <n v="275.33333333333331"/>
    <n v="1134"/>
    <n v="0"/>
    <n v="33"/>
    <n v="0"/>
    <n v="33"/>
    <n v="81"/>
    <n v="135"/>
    <n v="90"/>
    <n v="1134"/>
    <n v="123.55932203389833"/>
    <n v="0"/>
    <n v="81"/>
    <n v="81"/>
    <n v="0"/>
    <n v="104.16464891041163"/>
    <n v="0"/>
    <n v="20862400.000000004"/>
    <n v="13166400"/>
    <n v="17180800"/>
    <n v="2059200"/>
    <n v="70761600"/>
    <n v="57720"/>
    <n v="0"/>
    <n v="19297720.000000004"/>
    <n v="12178920"/>
    <n v="15892239.999999998"/>
    <n v="1904760"/>
    <n v="65454480"/>
    <x v="0"/>
    <n v="-81"/>
    <n v="0"/>
    <n v="0"/>
    <n v="0"/>
  </r>
  <r>
    <n v="1289"/>
    <x v="6"/>
    <s v="P9299620"/>
    <s v="77582 LIFTER GLAZE 004 CHERRYSWIRL"/>
    <x v="4"/>
    <n v="62400"/>
    <n v="394.00000000000045"/>
    <n v="313"/>
    <n v="340"/>
    <n v="1121"/>
    <n v="0"/>
    <n v="12"/>
    <n v="0"/>
    <n v="12"/>
    <n v="207"/>
    <n v="135"/>
    <n v="90"/>
    <n v="1121"/>
    <n v="98.911764705882348"/>
    <n v="200"/>
    <n v="207"/>
    <n v="207"/>
    <n v="0"/>
    <n v="72.35294117647058"/>
    <n v="0"/>
    <n v="24585600.00000003"/>
    <n v="19531200"/>
    <n v="21216000"/>
    <n v="748800"/>
    <n v="69950400"/>
    <n v="57720"/>
    <n v="0"/>
    <n v="22741680.000000026"/>
    <n v="18066360"/>
    <n v="19624800"/>
    <n v="692640"/>
    <n v="64704120"/>
    <x v="0"/>
    <n v="-207"/>
    <n v="0"/>
    <n v="0"/>
    <n v="0"/>
  </r>
  <r>
    <n v="1290"/>
    <x v="6"/>
    <s v="P9299621"/>
    <s v="77605 LIFTER GLAZE 005 PEACHQUENCH"/>
    <x v="4"/>
    <n v="62400"/>
    <n v="488"/>
    <n v="433"/>
    <n v="444.66666666666663"/>
    <n v="980"/>
    <n v="0"/>
    <n v="6"/>
    <n v="0"/>
    <n v="6"/>
    <n v="630"/>
    <n v="135"/>
    <n v="90"/>
    <n v="980"/>
    <n v="66.116941529235376"/>
    <n v="781"/>
    <n v="630"/>
    <n v="781"/>
    <n v="0"/>
    <n v="37.3088455772114"/>
    <n v="0"/>
    <n v="30451200"/>
    <n v="27019200"/>
    <n v="27747199.999999996"/>
    <n v="374400"/>
    <n v="61152000"/>
    <n v="57720"/>
    <n v="0"/>
    <n v="28167360"/>
    <n v="24992760"/>
    <n v="25666159.999999996"/>
    <n v="346320"/>
    <n v="56565600"/>
    <x v="0"/>
    <n v="-630"/>
    <n v="0"/>
    <n v="0"/>
    <n v="0"/>
  </r>
  <r>
    <n v="1291"/>
    <x v="6"/>
    <s v="P9299622"/>
    <s v="77612 LIFTER GLAZE 006 CARAMELGLOW"/>
    <x v="4"/>
    <n v="62400"/>
    <n v="135.99999999999926"/>
    <n v="119"/>
    <n v="130"/>
    <n v="922"/>
    <n v="0"/>
    <n v="18"/>
    <n v="0"/>
    <n v="18"/>
    <n v="9"/>
    <n v="135"/>
    <n v="90"/>
    <n v="922"/>
    <n v="212.76923076923077"/>
    <n v="0"/>
    <n v="9"/>
    <n v="0"/>
    <n v="0"/>
    <n v="189.46153846153845"/>
    <n v="0"/>
    <n v="8486399.9999999534"/>
    <n v="7425600"/>
    <n v="8112000"/>
    <n v="1123200"/>
    <n v="57532800"/>
    <n v="57720"/>
    <n v="0"/>
    <n v="7849919.9999999572"/>
    <n v="6868680"/>
    <n v="7503600"/>
    <n v="1038960"/>
    <n v="53217840"/>
    <x v="0"/>
    <n v="-9"/>
    <n v="0"/>
    <n v="0"/>
    <n v="0"/>
  </r>
  <r>
    <n v="1292"/>
    <x v="6"/>
    <s v="P9299623"/>
    <s v="77629 LIFTER GLAZE 007 BERRY HAZE"/>
    <x v="4"/>
    <n v="62400"/>
    <n v="106.66666666666697"/>
    <n v="70"/>
    <n v="92.333333333333329"/>
    <n v="810"/>
    <n v="0"/>
    <n v="0"/>
    <n v="0"/>
    <n v="0"/>
    <n v="33"/>
    <n v="135"/>
    <n v="90"/>
    <n v="810"/>
    <n v="263.17689530685919"/>
    <n v="0"/>
    <n v="33"/>
    <n v="0"/>
    <n v="0"/>
    <n v="240.4332129963899"/>
    <n v="0"/>
    <n v="6656000.0000000186"/>
    <n v="4368000"/>
    <n v="5761600"/>
    <n v="0"/>
    <n v="50544000"/>
    <n v="57720"/>
    <n v="0"/>
    <n v="6156800.0000000177"/>
    <n v="4040400"/>
    <n v="5329480"/>
    <n v="0"/>
    <n v="46753200"/>
    <x v="0"/>
    <n v="-33"/>
    <n v="0"/>
    <n v="0"/>
    <n v="0"/>
  </r>
  <r>
    <n v="1293"/>
    <x v="6"/>
    <s v="P9299624"/>
    <s v="77568 LIFTER GLAZE 008 ACAI GLAZE"/>
    <x v="4"/>
    <n v="62400"/>
    <n v="72.000000000000625"/>
    <n v="30"/>
    <n v="63.000000000000007"/>
    <n v="1392"/>
    <n v="0"/>
    <n v="0"/>
    <n v="0"/>
    <n v="0"/>
    <n v="3"/>
    <n v="135"/>
    <n v="90"/>
    <n v="1392"/>
    <n v="662.85714285714278"/>
    <n v="0"/>
    <n v="3"/>
    <n v="0"/>
    <n v="0"/>
    <n v="648.57142857142856"/>
    <n v="0"/>
    <n v="4492800.0000000391"/>
    <n v="1872000"/>
    <n v="3931200.0000000005"/>
    <n v="0"/>
    <n v="86860800"/>
    <n v="57720"/>
    <n v="0"/>
    <n v="4155840.0000000363"/>
    <n v="1731600"/>
    <n v="3636360.0000000005"/>
    <n v="0"/>
    <n v="80346240"/>
    <x v="0"/>
    <n v="-3"/>
    <n v="0"/>
    <n v="0"/>
    <n v="0"/>
  </r>
  <r>
    <n v="1294"/>
    <x v="6"/>
    <s v="P9299625"/>
    <s v="77636 LIFTER GLAZE 009 LATTE CRUSH"/>
    <x v="4"/>
    <n v="62400"/>
    <n v="61.6666666666666"/>
    <n v="40"/>
    <n v="51.000000000000007"/>
    <n v="1135"/>
    <n v="0"/>
    <n v="0"/>
    <n v="0"/>
    <n v="0"/>
    <n v="6"/>
    <n v="135"/>
    <n v="90"/>
    <n v="1135"/>
    <n v="667.64705882352928"/>
    <n v="0"/>
    <n v="6"/>
    <n v="0"/>
    <n v="0"/>
    <n v="644.11764705882342"/>
    <n v="0"/>
    <n v="3847999.9999999958"/>
    <n v="2496000"/>
    <n v="3182400.0000000005"/>
    <n v="0"/>
    <n v="70824000"/>
    <n v="57720"/>
    <n v="0"/>
    <n v="3559399.9999999963"/>
    <n v="2308800"/>
    <n v="2943720.0000000005"/>
    <n v="0"/>
    <n v="65512200"/>
    <x v="0"/>
    <n v="-6"/>
    <n v="0"/>
    <n v="0"/>
    <n v="0"/>
  </r>
  <r>
    <n v="1295"/>
    <x v="6"/>
    <s v="P9299626"/>
    <s v="32853  GLYCO BR LUMINIZING CRM 30ML"/>
    <x v="4"/>
    <n v="100700"/>
    <n v="546.99999999999977"/>
    <n v="388"/>
    <n v="465"/>
    <n v="3947"/>
    <n v="0"/>
    <n v="0"/>
    <n v="0"/>
    <n v="0"/>
    <n v="96"/>
    <n v="12"/>
    <n v="90"/>
    <n v="3947"/>
    <n v="254.64516129032259"/>
    <n v="0"/>
    <n v="96"/>
    <n v="0"/>
    <n v="0"/>
    <n v="229.61290322580643"/>
    <n v="0"/>
    <n v="55082899.999999978"/>
    <n v="39071600"/>
    <n v="46825500"/>
    <n v="0"/>
    <n v="397462900"/>
    <n v="93148"/>
    <n v="0"/>
    <n v="50951955.999999978"/>
    <n v="36141424"/>
    <n v="43313820"/>
    <n v="0"/>
    <n v="367655156"/>
    <x v="0"/>
    <n v="-96"/>
    <n v="0"/>
    <n v="0"/>
    <n v="0"/>
  </r>
  <r>
    <n v="1296"/>
    <x v="6"/>
    <s v="P9299627"/>
    <s v="34109 GAR BC LOW PH VIT C 50 ML"/>
    <x v="4"/>
    <n v="18000"/>
    <n v="13"/>
    <n v="14"/>
    <n v="16.666666666666668"/>
    <n v="828"/>
    <n v="0"/>
    <n v="0"/>
    <n v="0"/>
    <n v="0"/>
    <n v="0"/>
    <n v="24"/>
    <n v="90"/>
    <n v="828"/>
    <n v="1490.4"/>
    <n v="0"/>
    <n v="0"/>
    <n v="0"/>
    <n v="0"/>
    <n v="1465.1999999999998"/>
    <n v="0"/>
    <n v="234000"/>
    <n v="252000"/>
    <n v="300000"/>
    <n v="0"/>
    <n v="14904000"/>
    <n v="16650"/>
    <n v="0"/>
    <n v="216450"/>
    <n v="233100"/>
    <n v="277500"/>
    <n v="0"/>
    <n v="13786200"/>
    <x v="0"/>
    <n v="0"/>
    <n v="0"/>
    <n v="0"/>
    <n v="0"/>
  </r>
  <r>
    <n v="1297"/>
    <x v="6"/>
    <s v="P9299628"/>
    <s v="34062 GAR BC LOW PH VIT C 100 ML"/>
    <x v="4"/>
    <n v="27000"/>
    <n v="19"/>
    <n v="5"/>
    <n v="18.666666666666668"/>
    <n v="718"/>
    <n v="0"/>
    <n v="0"/>
    <n v="0"/>
    <n v="0"/>
    <n v="0"/>
    <n v="12"/>
    <n v="90"/>
    <n v="718"/>
    <n v="1153.9285714285716"/>
    <n v="0"/>
    <n v="0"/>
    <n v="0"/>
    <n v="0"/>
    <n v="1145.8928571428571"/>
    <n v="0"/>
    <n v="513000"/>
    <n v="135000"/>
    <n v="504000.00000000006"/>
    <n v="0"/>
    <n v="19386000"/>
    <n v="24975"/>
    <n v="0"/>
    <n v="474525"/>
    <n v="124875"/>
    <n v="466200.00000000006"/>
    <n v="0"/>
    <n v="17932050"/>
    <x v="0"/>
    <n v="0"/>
    <n v="0"/>
    <n v="0"/>
    <n v="0"/>
  </r>
  <r>
    <n v="1298"/>
    <x v="6"/>
    <s v="P9299629"/>
    <s v="34147 GAR BCAA LOW PH SALIC 100 ML"/>
    <x v="4"/>
    <n v="27000"/>
    <n v="5"/>
    <n v="9"/>
    <n v="6"/>
    <n v="123"/>
    <n v="0"/>
    <n v="0"/>
    <n v="0"/>
    <n v="0"/>
    <n v="0"/>
    <n v="12"/>
    <n v="90"/>
    <n v="123"/>
    <n v="615"/>
    <n v="0"/>
    <n v="0"/>
    <n v="0"/>
    <n v="0"/>
    <n v="570"/>
    <n v="0"/>
    <n v="135000"/>
    <n v="243000"/>
    <n v="162000"/>
    <n v="0"/>
    <n v="3321000"/>
    <n v="24975"/>
    <n v="0"/>
    <n v="124875"/>
    <n v="224775"/>
    <n v="149850"/>
    <n v="0"/>
    <n v="3071925"/>
    <x v="0"/>
    <n v="0"/>
    <n v="0"/>
    <n v="0"/>
    <n v="0"/>
  </r>
  <r>
    <n v="1299"/>
    <x v="6"/>
    <s v="P9299630"/>
    <s v="34222 GAR SG LOW PH NC 100 ML"/>
    <x v="4"/>
    <n v="27000"/>
    <n v="9"/>
    <n v="12"/>
    <n v="8"/>
    <n v="385"/>
    <n v="0"/>
    <n v="0"/>
    <n v="0"/>
    <n v="0"/>
    <n v="0"/>
    <n v="12"/>
    <n v="90"/>
    <n v="385"/>
    <n v="1443.75"/>
    <n v="0"/>
    <n v="0"/>
    <n v="0"/>
    <n v="0"/>
    <n v="1398.75"/>
    <n v="0"/>
    <n v="243000"/>
    <n v="324000"/>
    <n v="216000"/>
    <n v="0"/>
    <n v="10395000"/>
    <n v="24975"/>
    <n v="0"/>
    <n v="224775"/>
    <n v="299700"/>
    <n v="199800"/>
    <n v="0"/>
    <n v="9615375"/>
    <x v="0"/>
    <n v="0"/>
    <n v="0"/>
    <n v="0"/>
    <n v="0"/>
  </r>
  <r>
    <n v="1300"/>
    <x v="6"/>
    <s v="P9299631"/>
    <s v="58663 GAR MICELLAR WATER 300+100 ML"/>
    <x v="4"/>
    <n v="40500"/>
    <n v="109.66666666667"/>
    <n v="114"/>
    <n v="86"/>
    <n v="84"/>
    <n v="0"/>
    <n v="0"/>
    <n v="0"/>
    <n v="0"/>
    <n v="84"/>
    <n v="6"/>
    <n v="90"/>
    <n v="84"/>
    <n v="29.302325581395348"/>
    <n v="288"/>
    <n v="84"/>
    <n v="288"/>
    <n v="0"/>
    <n v="0"/>
    <n v="0"/>
    <n v="4441500.000000135"/>
    <n v="4617000"/>
    <n v="3483000"/>
    <n v="0"/>
    <n v="3402000"/>
    <n v="37463"/>
    <n v="0"/>
    <n v="4108442.3333334583"/>
    <n v="4270782"/>
    <n v="3221818"/>
    <n v="0"/>
    <n v="3146892"/>
    <x v="0"/>
    <n v="-84"/>
    <n v="0"/>
    <n v="0"/>
    <n v="0"/>
  </r>
  <r>
    <n v="1301"/>
    <x v="6"/>
    <s v="P9299632"/>
    <s v="75908 MYB SKY HIGH TUBE MSCR VBLACK"/>
    <x v="4"/>
    <n v="97700"/>
    <n v="2412.3333333333444"/>
    <n v="1256"/>
    <n v="2094.6666666666665"/>
    <n v="4017"/>
    <n v="0"/>
    <n v="438"/>
    <n v="0"/>
    <n v="438"/>
    <n v="420"/>
    <n v="3"/>
    <n v="90"/>
    <n v="4017"/>
    <n v="57.531826861871423"/>
    <n v="3085"/>
    <n v="420"/>
    <n v="3085"/>
    <n v="0"/>
    <n v="45.816359007001907"/>
    <n v="0"/>
    <n v="235684966.66666776"/>
    <n v="122711200"/>
    <n v="204648933.33333331"/>
    <n v="42792600"/>
    <n v="392460900"/>
    <n v="90373"/>
    <n v="0"/>
    <n v="218009800.33333433"/>
    <n v="113508488"/>
    <n v="189301310.66666666"/>
    <n v="39583374"/>
    <n v="363028341"/>
    <x v="0"/>
    <n v="-420"/>
    <n v="0"/>
    <n v="0"/>
    <n v="0"/>
  </r>
  <r>
    <n v="1302"/>
    <x v="6"/>
    <s v="P9299633"/>
    <s v="82883 MYB SHINE STOPPER PRIMER 10ML"/>
    <x v="4"/>
    <n v="44100"/>
    <n v="292.99999999999977"/>
    <n v="89"/>
    <n v="197.33333333333331"/>
    <n v="4727"/>
    <n v="0"/>
    <n v="0"/>
    <n v="0"/>
    <n v="0"/>
    <n v="96"/>
    <n v="96"/>
    <n v="90"/>
    <n v="4727"/>
    <n v="718.63175675675689"/>
    <n v="0"/>
    <n v="96"/>
    <n v="0"/>
    <n v="0"/>
    <n v="705.10135135135135"/>
    <n v="0"/>
    <n v="12921299.999999991"/>
    <n v="3924900"/>
    <n v="8702400"/>
    <n v="0"/>
    <n v="208460700"/>
    <n v="40793"/>
    <n v="0"/>
    <n v="11952348.999999991"/>
    <n v="3630577"/>
    <n v="8049818.666666666"/>
    <n v="0"/>
    <n v="192828511"/>
    <x v="0"/>
    <n v="-96"/>
    <n v="0"/>
    <n v="0"/>
    <n v="0"/>
  </r>
  <r>
    <n v="1303"/>
    <x v="6"/>
    <s v="P9299634"/>
    <s v="82876 MYB SHINE STOPPER PRIMER 25ML"/>
    <x v="4"/>
    <n v="81900"/>
    <n v="256.66666666666549"/>
    <n v="88"/>
    <n v="166.66666666666669"/>
    <n v="2475"/>
    <n v="0"/>
    <n v="0"/>
    <n v="0"/>
    <n v="0"/>
    <n v="48"/>
    <n v="48"/>
    <n v="90"/>
    <n v="2475"/>
    <n v="445.49999999999994"/>
    <n v="0"/>
    <n v="48"/>
    <n v="0"/>
    <n v="0"/>
    <n v="429.65999999999997"/>
    <n v="0"/>
    <n v="21020999.999999903"/>
    <n v="7207200"/>
    <n v="13650000.000000002"/>
    <n v="0"/>
    <n v="202702500"/>
    <n v="75758"/>
    <n v="0"/>
    <n v="19444553.333333243"/>
    <n v="6666704"/>
    <n v="12626333.333333334"/>
    <n v="0"/>
    <n v="187501050"/>
    <x v="0"/>
    <n v="-48"/>
    <n v="0"/>
    <n v="0"/>
    <n v="0"/>
  </r>
  <r>
    <n v="1304"/>
    <x v="6"/>
    <s v="P9299635"/>
    <s v="83989 MYB SS MATTE MAX CUSH 110"/>
    <x v="1"/>
    <n v="126100"/>
    <n v="195.6666666666666"/>
    <n v="6"/>
    <n v="140.66666666666666"/>
    <n v="583"/>
    <n v="0"/>
    <n v="0"/>
    <n v="0"/>
    <n v="0"/>
    <n v="114"/>
    <n v="72"/>
    <n v="90"/>
    <n v="583"/>
    <n v="124.33649289099527"/>
    <n v="0"/>
    <n v="114"/>
    <n v="114"/>
    <n v="0"/>
    <n v="123.05687203791469"/>
    <n v="0"/>
    <n v="24673566.666666657"/>
    <n v="756600"/>
    <n v="17738066.666666664"/>
    <n v="0"/>
    <n v="73516300"/>
    <n v="116643"/>
    <n v="0"/>
    <n v="22823146.999999993"/>
    <n v="699858"/>
    <n v="16407781.999999998"/>
    <n v="0"/>
    <n v="68002869"/>
    <x v="0"/>
    <n v="-114"/>
    <n v="0"/>
    <n v="0"/>
    <n v="0"/>
  </r>
  <r>
    <n v="1305"/>
    <x v="6"/>
    <s v="P9299636"/>
    <s v="83996 MYB SS MATTE MAX CUSH 111"/>
    <x v="1"/>
    <n v="126100"/>
    <n v="218.333333333334"/>
    <n v="6"/>
    <n v="156"/>
    <n v="635"/>
    <n v="0"/>
    <n v="0"/>
    <n v="0"/>
    <n v="0"/>
    <n v="24"/>
    <n v="72"/>
    <n v="90"/>
    <n v="635"/>
    <n v="122.11538461538461"/>
    <n v="0"/>
    <n v="24"/>
    <n v="24"/>
    <n v="0"/>
    <n v="120.96153846153845"/>
    <n v="0"/>
    <n v="27531833.333333418"/>
    <n v="756600"/>
    <n v="19671600"/>
    <n v="0"/>
    <n v="80073500"/>
    <n v="116643"/>
    <n v="0"/>
    <n v="25467055.000000078"/>
    <n v="699858"/>
    <n v="18196308"/>
    <n v="0"/>
    <n v="74068305"/>
    <x v="0"/>
    <n v="-24"/>
    <n v="0"/>
    <n v="0"/>
    <n v="0"/>
  </r>
  <r>
    <n v="1306"/>
    <x v="6"/>
    <s v="P9299637"/>
    <s v="84009 MYB SS MATTE MAX CUSH 115"/>
    <x v="1"/>
    <n v="126100"/>
    <n v="190.99999999999952"/>
    <n v="4"/>
    <n v="131.33333333333331"/>
    <n v="867"/>
    <n v="0"/>
    <n v="0"/>
    <n v="0"/>
    <n v="0"/>
    <n v="21"/>
    <n v="72"/>
    <n v="90"/>
    <n v="867"/>
    <n v="198.04568527918784"/>
    <n v="0"/>
    <n v="21"/>
    <n v="0"/>
    <n v="0"/>
    <n v="197.13197969543151"/>
    <n v="0"/>
    <n v="24085099.99999994"/>
    <n v="504400"/>
    <n v="16561133.33333333"/>
    <n v="0"/>
    <n v="109328700"/>
    <n v="116643"/>
    <n v="0"/>
    <n v="22278812.999999944"/>
    <n v="466572"/>
    <n v="15319113.999999998"/>
    <n v="0"/>
    <n v="101129481"/>
    <x v="0"/>
    <n v="-21"/>
    <n v="0"/>
    <n v="0"/>
    <n v="0"/>
  </r>
  <r>
    <n v="1307"/>
    <x v="6"/>
    <s v="P9299638"/>
    <s v="84016 MYB SS MATTE MAX CUSH 118"/>
    <x v="1"/>
    <n v="126100"/>
    <n v="214.66666666666558"/>
    <n v="8"/>
    <n v="156.33333333333331"/>
    <n v="796"/>
    <n v="0"/>
    <n v="0"/>
    <n v="0"/>
    <n v="0"/>
    <n v="27"/>
    <n v="72"/>
    <n v="90"/>
    <n v="796"/>
    <n v="152.75053304904054"/>
    <n v="0"/>
    <n v="27"/>
    <n v="27"/>
    <n v="0"/>
    <n v="151.21535181236675"/>
    <n v="0"/>
    <n v="27069466.66666653"/>
    <n v="1008800"/>
    <n v="19713633.333333332"/>
    <n v="0"/>
    <n v="100375600"/>
    <n v="116643"/>
    <n v="0"/>
    <n v="25039363.999999873"/>
    <n v="933144"/>
    <n v="18235188.999999996"/>
    <n v="0"/>
    <n v="92847828"/>
    <x v="0"/>
    <n v="-27"/>
    <n v="0"/>
    <n v="0"/>
    <n v="0"/>
  </r>
  <r>
    <n v="1308"/>
    <x v="6"/>
    <s v="P9299639"/>
    <s v="85242 MYB SS MATTE MAX CUSH 119"/>
    <x v="1"/>
    <n v="126100"/>
    <n v="183.00000000000023"/>
    <n v="6"/>
    <n v="121.33333333333331"/>
    <n v="741"/>
    <n v="0"/>
    <n v="0"/>
    <n v="0"/>
    <n v="0"/>
    <n v="12"/>
    <n v="72"/>
    <n v="90"/>
    <n v="741"/>
    <n v="183.21428571428575"/>
    <n v="0"/>
    <n v="12"/>
    <n v="12"/>
    <n v="0"/>
    <n v="181.73076923076925"/>
    <n v="0"/>
    <n v="23076300.00000003"/>
    <n v="756600"/>
    <n v="15300133.33333333"/>
    <n v="0"/>
    <n v="93440100"/>
    <n v="116643"/>
    <n v="0"/>
    <n v="21345669.000000026"/>
    <n v="699858"/>
    <n v="14152683.999999998"/>
    <n v="0"/>
    <n v="86432463"/>
    <x v="0"/>
    <n v="-12"/>
    <n v="0"/>
    <n v="0"/>
    <n v="0"/>
  </r>
  <r>
    <n v="1309"/>
    <x v="6"/>
    <s v="P9299640"/>
    <s v="84023 MYB SS MATTE MAX CUSH 120"/>
    <x v="1"/>
    <n v="126100"/>
    <n v="239.3333333333326"/>
    <n v="16"/>
    <n v="178.66666666666666"/>
    <n v="1544"/>
    <n v="0"/>
    <n v="0"/>
    <n v="0"/>
    <n v="0"/>
    <n v="3"/>
    <n v="72"/>
    <n v="90"/>
    <n v="1544"/>
    <n v="259.25373134328362"/>
    <n v="0"/>
    <n v="3"/>
    <n v="0"/>
    <n v="0"/>
    <n v="256.56716417910451"/>
    <n v="0"/>
    <n v="30179933.333333243"/>
    <n v="2017600"/>
    <n v="22529866.666666664"/>
    <n v="0"/>
    <n v="194698400"/>
    <n v="116643"/>
    <n v="0"/>
    <n v="27916557.999999914"/>
    <n v="1866288"/>
    <n v="20840216"/>
    <n v="0"/>
    <n v="180096792"/>
    <x v="0"/>
    <n v="-3"/>
    <n v="0"/>
    <n v="0"/>
    <n v="0"/>
  </r>
  <r>
    <n v="1310"/>
    <x v="6"/>
    <s v="P9299641"/>
    <s v="84054 MYB SS MATTE MAX CUSH 128"/>
    <x v="1"/>
    <n v="126100"/>
    <n v="216.00000000000159"/>
    <n v="17"/>
    <n v="157.66666666666666"/>
    <n v="930"/>
    <n v="0"/>
    <n v="0"/>
    <n v="0"/>
    <n v="0"/>
    <n v="12"/>
    <n v="72"/>
    <n v="90"/>
    <n v="930"/>
    <n v="176.9556025369979"/>
    <n v="0"/>
    <n v="12"/>
    <n v="12"/>
    <n v="0"/>
    <n v="173.72093023255815"/>
    <n v="0"/>
    <n v="27237600.000000201"/>
    <n v="2143700"/>
    <n v="19881766.666666664"/>
    <n v="0"/>
    <n v="117273000"/>
    <n v="116643"/>
    <n v="0"/>
    <n v="25194888.000000186"/>
    <n v="1982931"/>
    <n v="18390713"/>
    <n v="0"/>
    <n v="108477990"/>
    <x v="0"/>
    <n v="-12"/>
    <n v="0"/>
    <n v="0"/>
    <n v="0"/>
  </r>
  <r>
    <n v="1311"/>
    <x v="6"/>
    <s v="P9299642"/>
    <s v="84061 MYB SS MATTE MAX CUSH 220"/>
    <x v="1"/>
    <n v="126100"/>
    <n v="162.99999999999957"/>
    <n v="12"/>
    <n v="110.33333333333334"/>
    <n v="681"/>
    <n v="0"/>
    <n v="0"/>
    <n v="0"/>
    <n v="0"/>
    <n v="30"/>
    <n v="72"/>
    <n v="90"/>
    <n v="681"/>
    <n v="185.16616314199393"/>
    <n v="0"/>
    <n v="30"/>
    <n v="30"/>
    <n v="0"/>
    <n v="181.90332326283985"/>
    <n v="0"/>
    <n v="20554299.999999948"/>
    <n v="1513200"/>
    <n v="13913033.333333334"/>
    <n v="0"/>
    <n v="85874100"/>
    <n v="116643"/>
    <n v="0"/>
    <n v="19012808.999999952"/>
    <n v="1399716"/>
    <n v="12869611.000000002"/>
    <n v="0"/>
    <n v="79433883"/>
    <x v="0"/>
    <n v="-30"/>
    <n v="0"/>
    <n v="0"/>
    <n v="0"/>
  </r>
  <r>
    <n v="1312"/>
    <x v="6"/>
    <s v="P9299643"/>
    <s v="84078 MYB SS MATTE MAX CUSH 228"/>
    <x v="1"/>
    <n v="126100"/>
    <n v="90.666666666666245"/>
    <n v="4"/>
    <n v="57.000000000000007"/>
    <n v="130"/>
    <n v="0"/>
    <n v="0"/>
    <n v="0"/>
    <n v="0"/>
    <n v="15"/>
    <n v="72"/>
    <n v="90"/>
    <n v="130"/>
    <n v="68.421052631578931"/>
    <n v="45.000000000000028"/>
    <n v="15"/>
    <n v="45.000000000000028"/>
    <n v="0"/>
    <n v="66.315789473684205"/>
    <n v="0"/>
    <n v="11433066.666666614"/>
    <n v="504400"/>
    <n v="7187700.0000000009"/>
    <n v="0"/>
    <n v="16393000"/>
    <n v="116643"/>
    <n v="0"/>
    <n v="10575631.999999952"/>
    <n v="466572"/>
    <n v="6648651.0000000009"/>
    <n v="0"/>
    <n v="15163590"/>
    <x v="0"/>
    <n v="-15"/>
    <n v="0"/>
    <n v="0"/>
    <n v="0"/>
  </r>
  <r>
    <n v="1313"/>
    <x v="6"/>
    <s v="P9299644"/>
    <s v="84122 MYB SS MATTE MAX CUSH 110 REF"/>
    <x v="1"/>
    <n v="75600"/>
    <n v="87.333333333332973"/>
    <n v="6"/>
    <n v="54"/>
    <n v="134"/>
    <n v="0"/>
    <n v="0"/>
    <n v="0"/>
    <n v="0"/>
    <n v="18"/>
    <n v="72"/>
    <n v="90"/>
    <n v="134"/>
    <n v="74.444444444444443"/>
    <n v="34"/>
    <n v="18"/>
    <n v="34"/>
    <n v="0"/>
    <n v="71.111111111111114"/>
    <n v="0"/>
    <n v="6602399.999999973"/>
    <n v="453600"/>
    <n v="4082400"/>
    <n v="0"/>
    <n v="10130400"/>
    <n v="69930"/>
    <n v="0"/>
    <n v="6107219.9999999749"/>
    <n v="419580"/>
    <n v="3776220"/>
    <n v="0"/>
    <n v="9370620"/>
    <x v="0"/>
    <n v="-18"/>
    <n v="0"/>
    <n v="0"/>
    <n v="0"/>
  </r>
  <r>
    <n v="1314"/>
    <x v="6"/>
    <s v="P9299645"/>
    <s v="84139 MYB SS MATTE MAX CUSH 111 REF"/>
    <x v="1"/>
    <n v="75600"/>
    <n v="111.66666666666607"/>
    <n v="8"/>
    <n v="76"/>
    <n v="175"/>
    <n v="0"/>
    <n v="0"/>
    <n v="0"/>
    <n v="0"/>
    <n v="42"/>
    <n v="72"/>
    <n v="90"/>
    <n v="175"/>
    <n v="69.078947368421055"/>
    <n v="61"/>
    <n v="42"/>
    <n v="61"/>
    <n v="0"/>
    <n v="65.921052631578945"/>
    <n v="0"/>
    <n v="8441999.9999999553"/>
    <n v="604800"/>
    <n v="5745600"/>
    <n v="0"/>
    <n v="13230000"/>
    <n v="69930"/>
    <n v="0"/>
    <n v="7808849.999999959"/>
    <n v="559440"/>
    <n v="5314680"/>
    <n v="0"/>
    <n v="12237750"/>
    <x v="0"/>
    <n v="-42"/>
    <n v="0"/>
    <n v="0"/>
    <n v="0"/>
  </r>
  <r>
    <n v="1315"/>
    <x v="6"/>
    <s v="P9299646"/>
    <s v="84146 MYB SS MATTE MAX CUSH 115 REF"/>
    <x v="1"/>
    <n v="75600"/>
    <n v="95.666666666665606"/>
    <n v="6"/>
    <n v="60.333333333333336"/>
    <n v="193"/>
    <n v="0"/>
    <n v="0"/>
    <n v="0"/>
    <n v="0"/>
    <n v="12"/>
    <n v="72"/>
    <n v="90"/>
    <n v="193"/>
    <n v="95.966850828729278"/>
    <n v="0"/>
    <n v="12"/>
    <n v="12"/>
    <n v="0"/>
    <n v="92.983425414364646"/>
    <n v="0"/>
    <n v="7232399.9999999199"/>
    <n v="453600"/>
    <n v="4561200"/>
    <n v="0"/>
    <n v="14590800"/>
    <n v="69930"/>
    <n v="0"/>
    <n v="6689969.9999999255"/>
    <n v="419580"/>
    <n v="4219110"/>
    <n v="0"/>
    <n v="13496490"/>
    <x v="0"/>
    <n v="-12"/>
    <n v="0"/>
    <n v="0"/>
    <n v="0"/>
  </r>
  <r>
    <n v="1316"/>
    <x v="6"/>
    <s v="P9299647"/>
    <s v="84153 MYB SS MATTE MAX CUSH 118 REF"/>
    <x v="1"/>
    <n v="75600"/>
    <n v="103.3333333333327"/>
    <n v="7"/>
    <n v="66.666666666666671"/>
    <n v="230"/>
    <n v="0"/>
    <n v="0"/>
    <n v="0"/>
    <n v="0"/>
    <n v="21"/>
    <n v="72"/>
    <n v="90"/>
    <n v="230"/>
    <n v="103.49999999999999"/>
    <n v="0"/>
    <n v="21"/>
    <n v="21"/>
    <n v="0"/>
    <n v="100.35"/>
    <n v="0"/>
    <n v="7811999.9999999525"/>
    <n v="529200"/>
    <n v="5040000"/>
    <n v="0"/>
    <n v="17388000"/>
    <n v="69930"/>
    <n v="0"/>
    <n v="7226099.9999999562"/>
    <n v="489510"/>
    <n v="4662000"/>
    <n v="0"/>
    <n v="16083900"/>
    <x v="0"/>
    <n v="-21"/>
    <n v="0"/>
    <n v="0"/>
    <n v="0"/>
  </r>
  <r>
    <n v="1317"/>
    <x v="6"/>
    <s v="P9299648"/>
    <s v="85259 MYB SS MATTE MAX CUSH 119 REF"/>
    <x v="1"/>
    <n v="75600"/>
    <n v="108.33333333333231"/>
    <n v="4"/>
    <n v="69.333333333333329"/>
    <n v="275"/>
    <n v="0"/>
    <n v="0"/>
    <n v="0"/>
    <n v="0"/>
    <n v="15"/>
    <n v="72"/>
    <n v="90"/>
    <n v="275"/>
    <n v="118.99038461538463"/>
    <n v="0"/>
    <n v="15"/>
    <n v="15"/>
    <n v="0"/>
    <n v="117.25961538461539"/>
    <n v="0"/>
    <n v="8189999.9999999227"/>
    <n v="302400"/>
    <n v="5241600"/>
    <n v="0"/>
    <n v="20790000"/>
    <n v="69930"/>
    <n v="0"/>
    <n v="7575749.9999999283"/>
    <n v="279720"/>
    <n v="4848480"/>
    <n v="0"/>
    <n v="19230750"/>
    <x v="0"/>
    <n v="-15"/>
    <n v="0"/>
    <n v="0"/>
    <n v="0"/>
  </r>
  <r>
    <n v="1318"/>
    <x v="6"/>
    <s v="P9299649"/>
    <s v="84160 MYB SS MATTE MAX CUSH 120 REF"/>
    <x v="1"/>
    <n v="75600"/>
    <n v="127.33333333333267"/>
    <n v="4"/>
    <n v="84.333333333333343"/>
    <n v="470"/>
    <n v="0"/>
    <n v="0"/>
    <n v="0"/>
    <n v="0"/>
    <n v="18"/>
    <n v="72"/>
    <n v="90"/>
    <n v="470"/>
    <n v="167.19367588932806"/>
    <n v="0"/>
    <n v="18"/>
    <n v="18"/>
    <n v="0"/>
    <n v="165.77075098814225"/>
    <n v="0"/>
    <n v="9626399.9999999497"/>
    <n v="302400"/>
    <n v="6375600.0000000009"/>
    <n v="0"/>
    <n v="35532000"/>
    <n v="69930"/>
    <n v="0"/>
    <n v="8904419.9999999534"/>
    <n v="279720"/>
    <n v="5897430.0000000009"/>
    <n v="0"/>
    <n v="32867100"/>
    <x v="0"/>
    <n v="-18"/>
    <n v="0"/>
    <n v="0"/>
    <n v="0"/>
  </r>
  <r>
    <n v="1319"/>
    <x v="6"/>
    <s v="P9299650"/>
    <s v="84191 MYB SS MATTE MAX CUSH 128 REF"/>
    <x v="1"/>
    <n v="75600"/>
    <n v="88.666666666667069"/>
    <n v="7"/>
    <n v="55.666666666666671"/>
    <n v="130"/>
    <n v="0"/>
    <n v="0"/>
    <n v="0"/>
    <n v="0"/>
    <n v="24"/>
    <n v="72"/>
    <n v="90"/>
    <n v="130"/>
    <n v="70.059880239520965"/>
    <n v="44"/>
    <n v="24"/>
    <n v="44"/>
    <n v="0"/>
    <n v="66.287425149700596"/>
    <n v="0"/>
    <n v="6703200.0000000307"/>
    <n v="529200"/>
    <n v="4208400"/>
    <n v="0"/>
    <n v="9828000"/>
    <n v="69930"/>
    <n v="0"/>
    <n v="6200460.0000000279"/>
    <n v="489510"/>
    <n v="3892770.0000000005"/>
    <n v="0"/>
    <n v="9090900"/>
    <x v="0"/>
    <n v="-24"/>
    <n v="0"/>
    <n v="0"/>
    <n v="0"/>
  </r>
  <r>
    <n v="1320"/>
    <x v="6"/>
    <s v="P9299651"/>
    <s v="84207 MYB SS MATTE MAX CUSH 220 REF"/>
    <x v="1"/>
    <n v="75600"/>
    <n v="47.000000000000071"/>
    <n v="5"/>
    <n v="27.000000000000004"/>
    <n v="63"/>
    <n v="0"/>
    <n v="0"/>
    <n v="0"/>
    <n v="0"/>
    <n v="18"/>
    <n v="72"/>
    <n v="90"/>
    <n v="63"/>
    <n v="69.999999999999986"/>
    <n v="23.000000000000014"/>
    <n v="18"/>
    <n v="23.000000000000014"/>
    <n v="0"/>
    <n v="64.444444444444443"/>
    <n v="0"/>
    <n v="3553200.0000000056"/>
    <n v="378000"/>
    <n v="2041200.0000000002"/>
    <n v="0"/>
    <n v="4762800"/>
    <n v="69930"/>
    <n v="0"/>
    <n v="3286710.0000000051"/>
    <n v="349650"/>
    <n v="1888110.0000000002"/>
    <n v="0"/>
    <n v="4405590"/>
    <x v="0"/>
    <n v="-18"/>
    <n v="0"/>
    <n v="0"/>
    <n v="0"/>
  </r>
  <r>
    <n v="1321"/>
    <x v="6"/>
    <s v="P9299652"/>
    <s v="84214 MYB SS MATTE MAX CUSH 228 REF"/>
    <x v="1"/>
    <n v="75600"/>
    <n v="0"/>
    <n v="3"/>
    <n v="1"/>
    <n v="0"/>
    <n v="0"/>
    <n v="0"/>
    <n v="0"/>
    <n v="0"/>
    <n v="3"/>
    <n v="72"/>
    <n v="90"/>
    <n v="0"/>
    <n v="0"/>
    <n v="6"/>
    <n v="3"/>
    <n v="0"/>
    <n v="0"/>
    <n v="0"/>
    <n v="0"/>
    <n v="0"/>
    <n v="226800"/>
    <n v="75600"/>
    <n v="0"/>
    <n v="0"/>
    <n v="69930"/>
    <n v="0"/>
    <n v="0"/>
    <n v="209790"/>
    <n v="69930"/>
    <n v="0"/>
    <n v="0"/>
    <x v="0"/>
    <n v="-3"/>
    <n v="0"/>
    <n v="0"/>
    <n v="0"/>
  </r>
  <r>
    <n v="1322"/>
    <x v="6"/>
    <s v="P9299653"/>
    <s v="35977 LOR ELS GG MASK 200ML"/>
    <x v="1"/>
    <n v="61200"/>
    <n v="9"/>
    <n v="0"/>
    <n v="9"/>
    <n v="9"/>
    <n v="0"/>
    <n v="0"/>
    <n v="0"/>
    <n v="0"/>
    <n v="0"/>
    <n v="12"/>
    <n v="90"/>
    <n v="9"/>
    <n v="30"/>
    <n v="18"/>
    <n v="0"/>
    <n v="0"/>
    <n v="0"/>
    <n v="30"/>
    <n v="0"/>
    <n v="550800"/>
    <n v="0"/>
    <n v="550800"/>
    <n v="0"/>
    <n v="550800"/>
    <n v="56610"/>
    <n v="0"/>
    <n v="509490"/>
    <n v="0"/>
    <n v="509490"/>
    <n v="0"/>
    <n v="509490"/>
    <x v="0"/>
    <n v="0"/>
    <n v="0"/>
    <n v="0"/>
    <n v="0"/>
  </r>
  <r>
    <n v="1323"/>
    <x v="6"/>
    <s v="P9299654"/>
    <s v="33218 GLYCO BRIGHT MOON SERUM 30ML"/>
    <x v="1"/>
    <n v="126000"/>
    <n v="363.99999999999966"/>
    <n v="15"/>
    <n v="272"/>
    <n v="1212"/>
    <n v="0"/>
    <n v="0"/>
    <n v="0"/>
    <n v="0"/>
    <n v="60"/>
    <n v="12"/>
    <n v="90"/>
    <n v="1212"/>
    <n v="133.6764705882353"/>
    <n v="0"/>
    <n v="60"/>
    <n v="60"/>
    <n v="0"/>
    <n v="132.02205882352939"/>
    <n v="0"/>
    <n v="45863999.999999955"/>
    <n v="1890000"/>
    <n v="34272000"/>
    <n v="0"/>
    <n v="152712000"/>
    <n v="116550"/>
    <n v="0"/>
    <n v="42424199.999999963"/>
    <n v="1748250"/>
    <n v="31701600"/>
    <n v="0"/>
    <n v="141258600"/>
    <x v="0"/>
    <n v="-60"/>
    <n v="0"/>
    <n v="0"/>
    <n v="0"/>
  </r>
  <r>
    <n v="1324"/>
    <x v="6"/>
    <s v="P9299655"/>
    <s v="86100 GAR CN K-GLOW KIT ROSE LATTE"/>
    <x v="1"/>
    <n v="49700"/>
    <n v="0"/>
    <n v="0"/>
    <n v="0"/>
    <n v="0"/>
    <n v="0"/>
    <n v="0"/>
    <n v="0"/>
    <n v="0"/>
    <n v="0"/>
    <n v="96"/>
    <n v="90"/>
    <n v="0"/>
    <n v="0"/>
    <n v="0"/>
    <n v="0"/>
    <n v="0"/>
    <n v="0"/>
    <n v="0"/>
    <n v="0"/>
    <n v="0"/>
    <n v="0"/>
    <n v="0"/>
    <n v="0"/>
    <n v="0"/>
    <n v="45973"/>
    <n v="0"/>
    <n v="0"/>
    <n v="0"/>
    <n v="0"/>
    <n v="0"/>
    <n v="0"/>
    <x v="0"/>
    <n v="0"/>
    <n v="0"/>
    <n v="0"/>
    <n v="0"/>
  </r>
  <r>
    <n v="1325"/>
    <x v="6"/>
    <s v="P9299656"/>
    <s v="86834 GAR CN K-GLOW KIT CAR MOCHA"/>
    <x v="1"/>
    <n v="49700"/>
    <n v="0"/>
    <n v="0"/>
    <n v="0"/>
    <n v="0"/>
    <n v="0"/>
    <n v="0"/>
    <n v="0"/>
    <n v="0"/>
    <n v="0"/>
    <n v="96"/>
    <n v="90"/>
    <n v="0"/>
    <n v="0"/>
    <n v="0"/>
    <n v="0"/>
    <n v="0"/>
    <n v="0"/>
    <n v="0"/>
    <n v="0"/>
    <n v="0"/>
    <n v="0"/>
    <n v="0"/>
    <n v="0"/>
    <n v="0"/>
    <n v="45973"/>
    <n v="0"/>
    <n v="0"/>
    <n v="0"/>
    <n v="0"/>
    <n v="0"/>
    <n v="0"/>
    <x v="0"/>
    <n v="0"/>
    <n v="0"/>
    <n v="0"/>
    <n v="0"/>
  </r>
  <r>
    <n v="1326"/>
    <x v="6"/>
    <s v="P9299657"/>
    <s v="86872 GAR CN K-GLOW KIT MILK TEA"/>
    <x v="1"/>
    <n v="49700"/>
    <n v="0"/>
    <n v="0"/>
    <n v="0"/>
    <n v="0"/>
    <n v="0"/>
    <n v="0"/>
    <n v="0"/>
    <n v="0"/>
    <n v="0"/>
    <n v="96"/>
    <n v="90"/>
    <n v="0"/>
    <n v="0"/>
    <n v="0"/>
    <n v="0"/>
    <n v="0"/>
    <n v="0"/>
    <n v="0"/>
    <n v="0"/>
    <n v="0"/>
    <n v="0"/>
    <n v="0"/>
    <n v="0"/>
    <n v="0"/>
    <n v="45973"/>
    <n v="0"/>
    <n v="0"/>
    <n v="0"/>
    <n v="0"/>
    <n v="0"/>
    <n v="0"/>
    <x v="0"/>
    <n v="0"/>
    <n v="0"/>
    <n v="0"/>
    <n v="0"/>
  </r>
  <r>
    <n v="1327"/>
    <x v="6"/>
    <s v="P9299658"/>
    <s v="84528 INF LAQUE RESISTANCE 602"/>
    <x v="1"/>
    <n v="98600"/>
    <n v="164.33333333333309"/>
    <n v="4"/>
    <n v="165.66666666666666"/>
    <n v="1736"/>
    <n v="0"/>
    <n v="36"/>
    <n v="0"/>
    <n v="36"/>
    <n v="0"/>
    <n v="3"/>
    <n v="90"/>
    <n v="1736"/>
    <n v="314.36619718309862"/>
    <n v="0"/>
    <n v="0"/>
    <n v="0"/>
    <n v="0"/>
    <n v="320.16096579476863"/>
    <n v="0"/>
    <n v="16203266.666666642"/>
    <n v="394400"/>
    <n v="16334733.333333332"/>
    <n v="3549600"/>
    <n v="171169600"/>
    <n v="91205"/>
    <n v="0"/>
    <n v="14988021.666666644"/>
    <n v="364820"/>
    <n v="15109628.333333332"/>
    <n v="3283380"/>
    <n v="158331880"/>
    <x v="0"/>
    <n v="0"/>
    <n v="0"/>
    <n v="0"/>
    <n v="0"/>
  </r>
  <r>
    <n v="1328"/>
    <x v="6"/>
    <s v="P9299659"/>
    <s v="84535 INF LAQUE RESISTANCE 603"/>
    <x v="1"/>
    <n v="98600"/>
    <n v="164.00000000000006"/>
    <n v="8"/>
    <n v="166.66666666666669"/>
    <n v="1503"/>
    <n v="0"/>
    <n v="0"/>
    <n v="0"/>
    <n v="0"/>
    <n v="18"/>
    <n v="3"/>
    <n v="90"/>
    <n v="1503"/>
    <n v="270.53999999999996"/>
    <n v="0"/>
    <n v="18"/>
    <n v="0"/>
    <n v="0"/>
    <n v="269.09999999999997"/>
    <n v="0"/>
    <n v="16170400.000000006"/>
    <n v="788800"/>
    <n v="16433333.333333336"/>
    <n v="0"/>
    <n v="148195800"/>
    <n v="91205"/>
    <n v="0"/>
    <n v="14957620.000000006"/>
    <n v="729640"/>
    <n v="15200833.333333336"/>
    <n v="0"/>
    <n v="137081115"/>
    <x v="0"/>
    <n v="-18"/>
    <n v="0"/>
    <n v="0"/>
    <n v="0"/>
  </r>
  <r>
    <n v="1329"/>
    <x v="6"/>
    <s v="P9299660"/>
    <s v="84542 INF LAQUE RESISTANCE 604"/>
    <x v="1"/>
    <n v="98600"/>
    <n v="163.33333333333337"/>
    <n v="2"/>
    <n v="164"/>
    <n v="965"/>
    <n v="0"/>
    <n v="0"/>
    <n v="0"/>
    <n v="0"/>
    <n v="15"/>
    <n v="3"/>
    <n v="90"/>
    <n v="965"/>
    <n v="176.52439024390242"/>
    <n v="0"/>
    <n v="15"/>
    <n v="0"/>
    <n v="0"/>
    <n v="176.15853658536585"/>
    <n v="0"/>
    <n v="16104666.66666667"/>
    <n v="197200"/>
    <n v="16170400"/>
    <n v="0"/>
    <n v="95149000"/>
    <n v="91205"/>
    <n v="0"/>
    <n v="14896816.66666667"/>
    <n v="182410"/>
    <n v="14957620"/>
    <n v="0"/>
    <n v="88012825"/>
    <x v="0"/>
    <n v="-15"/>
    <n v="0"/>
    <n v="0"/>
    <n v="0"/>
  </r>
  <r>
    <n v="1330"/>
    <x v="6"/>
    <s v="P9299661"/>
    <s v="84559 INF LAQUE RESISTANCE 605"/>
    <x v="1"/>
    <n v="98600"/>
    <n v="183.33333333333297"/>
    <n v="8"/>
    <n v="186"/>
    <n v="2051"/>
    <n v="0"/>
    <n v="6"/>
    <n v="0"/>
    <n v="6"/>
    <n v="0"/>
    <n v="3"/>
    <n v="90"/>
    <n v="2051"/>
    <n v="330.80645161290323"/>
    <n v="0"/>
    <n v="0"/>
    <n v="0"/>
    <n v="0"/>
    <n v="330.48387096774195"/>
    <n v="0"/>
    <n v="18076666.666666631"/>
    <n v="788800"/>
    <n v="18339600"/>
    <n v="591600"/>
    <n v="202228600"/>
    <n v="91205"/>
    <n v="0"/>
    <n v="16720916.666666634"/>
    <n v="729640"/>
    <n v="16964130"/>
    <n v="547230"/>
    <n v="187061455"/>
    <x v="0"/>
    <n v="0"/>
    <n v="0"/>
    <n v="0"/>
    <n v="0"/>
  </r>
  <r>
    <n v="1331"/>
    <x v="6"/>
    <s v="P9299662"/>
    <s v="84566 INF LAQUE RESISTANCE 606"/>
    <x v="1"/>
    <n v="98600"/>
    <n v="189.33333333333366"/>
    <n v="8"/>
    <n v="192"/>
    <n v="575"/>
    <n v="0"/>
    <n v="0"/>
    <n v="0"/>
    <n v="0"/>
    <n v="45"/>
    <n v="3"/>
    <n v="90"/>
    <n v="575"/>
    <n v="89.84375"/>
    <n v="9"/>
    <n v="45"/>
    <n v="45"/>
    <n v="0"/>
    <n v="88.59375"/>
    <n v="0"/>
    <n v="18668266.666666698"/>
    <n v="788800"/>
    <n v="18931200"/>
    <n v="0"/>
    <n v="56695000"/>
    <n v="91205"/>
    <n v="0"/>
    <n v="17268146.666666698"/>
    <n v="729640"/>
    <n v="17511360"/>
    <n v="0"/>
    <n v="52442875"/>
    <x v="0"/>
    <n v="-45"/>
    <n v="0"/>
    <n v="0"/>
    <n v="0"/>
  </r>
  <r>
    <n v="1332"/>
    <x v="6"/>
    <s v="P9299663"/>
    <s v="84573 INF LAQUE RESISTANCE 607"/>
    <x v="1"/>
    <n v="98600"/>
    <n v="158.66666666666637"/>
    <n v="5"/>
    <n v="160.33333333333334"/>
    <n v="784"/>
    <n v="0"/>
    <n v="0"/>
    <n v="0"/>
    <n v="0"/>
    <n v="15"/>
    <n v="3"/>
    <n v="90"/>
    <n v="784"/>
    <n v="146.69438669438668"/>
    <n v="0"/>
    <n v="15"/>
    <n v="0"/>
    <n v="0"/>
    <n v="145.75883575883574"/>
    <n v="0"/>
    <n v="15644533.333333304"/>
    <n v="493000"/>
    <n v="15808866.666666668"/>
    <n v="0"/>
    <n v="77302400"/>
    <n v="91205"/>
    <n v="0"/>
    <n v="14471193.333333306"/>
    <n v="456025"/>
    <n v="14623201.666666668"/>
    <n v="0"/>
    <n v="71504720"/>
    <x v="0"/>
    <n v="-15"/>
    <n v="0"/>
    <n v="0"/>
    <n v="0"/>
  </r>
  <r>
    <n v="1333"/>
    <x v="6"/>
    <s v="P9299664"/>
    <s v="86102 LE MATTE RESISTANCE BLUSH 225"/>
    <x v="1"/>
    <n v="98600"/>
    <n v="168.00000000000068"/>
    <n v="18"/>
    <n v="174"/>
    <n v="810"/>
    <n v="0"/>
    <n v="54"/>
    <n v="0"/>
    <n v="54"/>
    <n v="45"/>
    <n v="3"/>
    <n v="90"/>
    <n v="810"/>
    <n v="139.65517241379308"/>
    <n v="0"/>
    <n v="45"/>
    <n v="0"/>
    <n v="0"/>
    <n v="145.86206896551724"/>
    <n v="0"/>
    <n v="16564800.000000067"/>
    <n v="1774800"/>
    <n v="17156400"/>
    <n v="5324400"/>
    <n v="79866000"/>
    <n v="91205"/>
    <n v="0"/>
    <n v="15322440.000000061"/>
    <n v="1641690"/>
    <n v="15869670"/>
    <n v="4925070"/>
    <n v="73876050"/>
    <x v="0"/>
    <n v="-45"/>
    <n v="0"/>
    <n v="0"/>
    <n v="0"/>
  </r>
  <r>
    <n v="1334"/>
    <x v="6"/>
    <s v="P9299665"/>
    <s v="86119 LE MATTE RESISTANCE RED 423"/>
    <x v="1"/>
    <n v="98600"/>
    <n v="163.33333333333368"/>
    <n v="14"/>
    <n v="168.00000000000003"/>
    <n v="1640"/>
    <n v="0"/>
    <n v="0"/>
    <n v="0"/>
    <n v="0"/>
    <n v="0"/>
    <n v="3"/>
    <n v="90"/>
    <n v="1640"/>
    <n v="292.85714285714283"/>
    <n v="0"/>
    <n v="0"/>
    <n v="0"/>
    <n v="0"/>
    <n v="290.35714285714283"/>
    <n v="0"/>
    <n v="16104666.666666701"/>
    <n v="1380400"/>
    <n v="16564800.000000004"/>
    <n v="0"/>
    <n v="161704000"/>
    <n v="91205"/>
    <n v="0"/>
    <n v="14896816.666666698"/>
    <n v="1276870"/>
    <n v="15322440.000000002"/>
    <n v="0"/>
    <n v="149576200"/>
    <x v="0"/>
    <n v="0"/>
    <n v="0"/>
    <n v="0"/>
    <n v="0"/>
  </r>
  <r>
    <n v="1335"/>
    <x v="6"/>
    <s v="P9299666"/>
    <s v="86126 LE MATTE RESISTANCE PLUM 435"/>
    <x v="1"/>
    <n v="98600"/>
    <n v="152.00000000000028"/>
    <n v="14"/>
    <n v="156.66666666666669"/>
    <n v="795"/>
    <n v="0"/>
    <n v="213"/>
    <n v="0"/>
    <n v="213"/>
    <n v="30"/>
    <n v="3"/>
    <n v="90"/>
    <n v="795"/>
    <n v="152.23404255319147"/>
    <n v="0"/>
    <n v="30"/>
    <n v="0"/>
    <n v="0"/>
    <n v="190.34042553191486"/>
    <n v="0"/>
    <n v="14987200.000000028"/>
    <n v="1380400"/>
    <n v="15447333.333333336"/>
    <n v="21001800"/>
    <n v="78387000"/>
    <n v="91205"/>
    <n v="0"/>
    <n v="13863160.000000026"/>
    <n v="1276870"/>
    <n v="14288783.333333336"/>
    <n v="19426665"/>
    <n v="72507975"/>
    <x v="0"/>
    <n v="-30"/>
    <n v="0"/>
    <n v="0"/>
    <n v="0"/>
  </r>
  <r>
    <n v="1336"/>
    <x v="6"/>
    <s v="P9299667"/>
    <s v="86133 LE MATTE RESISTANCE LOVE 490"/>
    <x v="1"/>
    <n v="98600"/>
    <n v="144.00000000000028"/>
    <n v="4"/>
    <n v="145.33333333333334"/>
    <n v="1797"/>
    <n v="0"/>
    <n v="0"/>
    <n v="0"/>
    <n v="0"/>
    <n v="9"/>
    <n v="126"/>
    <n v="90"/>
    <n v="1797"/>
    <n v="370.94036697247702"/>
    <n v="0"/>
    <n v="9"/>
    <n v="0"/>
    <n v="0"/>
    <n v="370.11467889908255"/>
    <n v="0"/>
    <n v="14198400.000000028"/>
    <n v="394400"/>
    <n v="14329866.666666668"/>
    <n v="0"/>
    <n v="177184200"/>
    <n v="91205"/>
    <n v="0"/>
    <n v="13133520.000000026"/>
    <n v="364820"/>
    <n v="13255126.666666668"/>
    <n v="0"/>
    <n v="163895385"/>
    <x v="0"/>
    <n v="-9"/>
    <n v="0"/>
    <n v="0"/>
    <n v="0"/>
  </r>
  <r>
    <n v="1337"/>
    <x v="6"/>
    <s v="P9299668"/>
    <s v="86140 LE MATTE RESISTANCE SWEET 710"/>
    <x v="1"/>
    <n v="98600"/>
    <n v="159.33333333333368"/>
    <n v="13"/>
    <n v="163.66666666666669"/>
    <n v="1526"/>
    <n v="0"/>
    <n v="0"/>
    <n v="0"/>
    <n v="0"/>
    <n v="0"/>
    <n v="126"/>
    <n v="90"/>
    <n v="1526"/>
    <n v="279.71486761710793"/>
    <n v="0"/>
    <n v="0"/>
    <n v="0"/>
    <n v="0"/>
    <n v="277.33197556008145"/>
    <n v="0"/>
    <n v="15710266.666666701"/>
    <n v="1281800"/>
    <n v="16137533.333333336"/>
    <n v="0"/>
    <n v="150463600"/>
    <n v="91205"/>
    <n v="0"/>
    <n v="14531996.666666698"/>
    <n v="1185665"/>
    <n v="14927218.333333336"/>
    <n v="0"/>
    <n v="139178830"/>
    <x v="0"/>
    <n v="0"/>
    <n v="0"/>
    <n v="0"/>
    <n v="0"/>
  </r>
  <r>
    <n v="1338"/>
    <x v="6"/>
    <s v="P9299669"/>
    <s v="35397 GLYCO BRIT ANTI DARK CLS 90ML"/>
    <x v="4"/>
    <n v="78600"/>
    <n v="184.33333333333331"/>
    <n v="0"/>
    <n v="184.33333333333334"/>
    <n v="3428"/>
    <n v="0"/>
    <n v="0"/>
    <n v="0"/>
    <n v="0"/>
    <n v="0"/>
    <n v="3"/>
    <n v="90"/>
    <n v="3428"/>
    <n v="557.90235081374317"/>
    <n v="0"/>
    <n v="0"/>
    <n v="0"/>
    <n v="0"/>
    <n v="557.90235081374317"/>
    <n v="0"/>
    <n v="14488599.999999998"/>
    <n v="0"/>
    <n v="14488600"/>
    <n v="0"/>
    <n v="269440800"/>
    <n v="72705"/>
    <n v="0"/>
    <n v="13401954.999999998"/>
    <n v="0"/>
    <n v="13401955"/>
    <n v="0"/>
    <n v="249232740"/>
    <x v="0"/>
    <n v="0"/>
    <n v="0"/>
    <n v="0"/>
    <n v="0"/>
  </r>
  <r>
    <n v="1339"/>
    <x v="6"/>
    <s v="P9299670"/>
    <s v="35359 GLYCO BRIT DAY CRM 30ML"/>
    <x v="4"/>
    <n v="93600"/>
    <n v="138"/>
    <n v="0"/>
    <n v="138"/>
    <n v="4547"/>
    <n v="0"/>
    <n v="0"/>
    <n v="0"/>
    <n v="0"/>
    <n v="6"/>
    <n v="3"/>
    <n v="90"/>
    <n v="4547"/>
    <n v="988.47826086956525"/>
    <n v="0"/>
    <n v="6"/>
    <n v="0"/>
    <n v="0"/>
    <n v="988.47826086956525"/>
    <n v="0"/>
    <n v="12916800"/>
    <n v="0"/>
    <n v="12916800"/>
    <n v="0"/>
    <n v="425599200"/>
    <n v="86580"/>
    <n v="0"/>
    <n v="11948040"/>
    <n v="0"/>
    <n v="11948040"/>
    <n v="0"/>
    <n v="393679260"/>
    <x v="0"/>
    <n v="-6"/>
    <n v="0"/>
    <n v="0"/>
    <n v="0"/>
  </r>
  <r>
    <n v="1340"/>
    <x v="6"/>
    <s v="P9299671"/>
    <s v="89675 GAR K-GLOW ROSE LATTE SACHET"/>
    <x v="4"/>
    <n v="16900"/>
    <n v="47"/>
    <n v="0"/>
    <n v="47"/>
    <n v="4659"/>
    <n v="0"/>
    <n v="0"/>
    <n v="0"/>
    <n v="0"/>
    <n v="0"/>
    <n v="3"/>
    <n v="90"/>
    <n v="4659"/>
    <n v="2973.8297872340427"/>
    <n v="0"/>
    <n v="0"/>
    <n v="0"/>
    <n v="0"/>
    <n v="2973.8297872340427"/>
    <n v="0"/>
    <n v="794300"/>
    <n v="0"/>
    <n v="794300"/>
    <n v="0"/>
    <n v="78737100"/>
    <n v="15633"/>
    <n v="0"/>
    <n v="734751"/>
    <n v="0"/>
    <n v="734751"/>
    <n v="0"/>
    <n v="72834147"/>
    <x v="0"/>
    <n v="0"/>
    <n v="0"/>
    <n v="0"/>
    <n v="0"/>
  </r>
  <r>
    <n v="1341"/>
    <x v="6"/>
    <s v="P9299672"/>
    <s v="89774 GAR K-GLOW CAR MOCHA SACHET"/>
    <x v="4"/>
    <n v="16900"/>
    <n v="63.333333333333002"/>
    <n v="0"/>
    <n v="63.333333333333336"/>
    <n v="4610"/>
    <n v="0"/>
    <n v="0"/>
    <n v="0"/>
    <n v="0"/>
    <n v="0"/>
    <n v="3"/>
    <n v="90"/>
    <n v="4610"/>
    <n v="2183.6842105263158"/>
    <n v="0"/>
    <n v="0"/>
    <n v="0"/>
    <n v="0"/>
    <n v="2183.6842105263158"/>
    <n v="0"/>
    <n v="1070333.3333333277"/>
    <n v="0"/>
    <n v="1070333.3333333335"/>
    <n v="0"/>
    <n v="77909000"/>
    <n v="15633"/>
    <n v="0"/>
    <n v="990089.99999999476"/>
    <n v="0"/>
    <n v="990090"/>
    <n v="0"/>
    <n v="72068130"/>
    <x v="0"/>
    <n v="0"/>
    <n v="0"/>
    <n v="0"/>
    <n v="0"/>
  </r>
  <r>
    <n v="1342"/>
    <x v="6"/>
    <s v="P9299673"/>
    <s v="89576 GAR K-GLOW MILK TEA SACHET"/>
    <x v="4"/>
    <n v="16900"/>
    <n v="761"/>
    <n v="0"/>
    <n v="761"/>
    <n v="2517"/>
    <n v="0"/>
    <n v="0"/>
    <n v="0"/>
    <n v="0"/>
    <n v="0"/>
    <n v="3"/>
    <n v="90"/>
    <n v="2517"/>
    <n v="99.224704336399483"/>
    <n v="0"/>
    <n v="0"/>
    <n v="0"/>
    <n v="0"/>
    <n v="99.224704336399483"/>
    <n v="0"/>
    <n v="12860900"/>
    <n v="0"/>
    <n v="12860900"/>
    <n v="0"/>
    <n v="42537300"/>
    <n v="15633"/>
    <n v="0"/>
    <n v="11896713"/>
    <n v="0"/>
    <n v="11896713"/>
    <n v="0"/>
    <n v="39348261"/>
    <x v="0"/>
    <n v="0"/>
    <n v="0"/>
    <n v="0"/>
    <n v="0"/>
  </r>
  <r>
    <n v="1343"/>
    <x v="6"/>
    <s v="P9299674"/>
    <s v="35311 GLYCO BRIT NIGHT CRM 30ML"/>
    <x v="4"/>
    <n v="93600"/>
    <n v="0"/>
    <n v="0"/>
    <n v="0"/>
    <n v="0"/>
    <n v="0"/>
    <n v="0"/>
    <n v="0"/>
    <n v="0"/>
    <n v="0"/>
    <n v="3"/>
    <n v="90"/>
    <n v="0"/>
    <n v="0"/>
    <n v="0"/>
    <n v="0"/>
    <n v="0"/>
    <n v="0"/>
    <n v="0"/>
    <n v="0"/>
    <n v="0"/>
    <n v="0"/>
    <n v="0"/>
    <n v="0"/>
    <n v="0"/>
    <n v="86580"/>
    <n v="0"/>
    <n v="0"/>
    <n v="0"/>
    <n v="0"/>
    <n v="0"/>
    <n v="0"/>
    <x v="0"/>
    <n v="0"/>
    <n v="0"/>
    <n v="0"/>
    <n v="0"/>
  </r>
  <r>
    <n v="1344"/>
    <x v="7"/>
    <s v="PB500003"/>
    <s v="PROMINA PASTA CRMY CHCKN SPINACH60G"/>
    <x v="3"/>
    <n v="8002"/>
    <n v="5491.0000000000082"/>
    <n v="5533.5839499999965"/>
    <n v="5640.5279833333325"/>
    <n v="6228"/>
    <n v="1584"/>
    <n v="984"/>
    <n v="1776"/>
    <n v="336"/>
    <n v="1536"/>
    <n v="24"/>
    <n v="62"/>
    <n v="9588"/>
    <n v="50.995226129525548"/>
    <n v="7266.6751155555539"/>
    <n v="408"/>
    <n v="2180.0025346666662"/>
    <n v="2184"/>
    <n v="34.967024732929943"/>
    <n v="17476368"/>
    <n v="43938982.000000067"/>
    <n v="44279738.767899975"/>
    <n v="45135504.922633328"/>
    <n v="2688672"/>
    <n v="76723176"/>
    <n v="7177"/>
    <n v="15674568"/>
    <n v="39408907.00000006"/>
    <n v="39714532.009149976"/>
    <n v="40482069.336383328"/>
    <n v="2411472"/>
    <n v="68813076"/>
    <x v="0"/>
    <n v="1776"/>
    <n v="0"/>
    <n v="0"/>
    <n v="0"/>
  </r>
  <r>
    <n v="1345"/>
    <x v="7"/>
    <s v="PB500004"/>
    <s v="PROMINA MI BATITA AYAM KAMPUNG 75G"/>
    <x v="3"/>
    <n v="9447"/>
    <n v="11365.999999999955"/>
    <n v="11584.96923333333"/>
    <n v="11746.323077777777"/>
    <n v="11694"/>
    <n v="4152"/>
    <n v="1776"/>
    <n v="6480"/>
    <n v="720"/>
    <n v="3408"/>
    <n v="24"/>
    <n v="62"/>
    <n v="22326"/>
    <n v="57.020396558572443"/>
    <n v="12814.703594074075"/>
    <n v="0"/>
    <n v="3844.4110782222224"/>
    <n v="3840"/>
    <n v="39.078690408951502"/>
    <n v="36276480"/>
    <n v="107374601.99999957"/>
    <n v="109443204.34729996"/>
    <n v="110967514.11576666"/>
    <n v="6801840"/>
    <n v="210913722"/>
    <n v="8474"/>
    <n v="32540160"/>
    <n v="96315483.999999613"/>
    <n v="98171029.283266634"/>
    <n v="99538341.761088878"/>
    <n v="6101280"/>
    <n v="189190524"/>
    <x v="0"/>
    <n v="3840"/>
    <n v="0"/>
    <n v="0"/>
    <n v="0"/>
  </r>
  <r>
    <n v="1346"/>
    <x v="7"/>
    <s v="PB500005"/>
    <s v="PROMINA BABY CRUNCH SEAWEED 20G"/>
    <x v="3"/>
    <n v="7974"/>
    <n v="14137.99999999992"/>
    <n v="13900.451350000005"/>
    <n v="13953.150450000001"/>
    <n v="0"/>
    <n v="2832"/>
    <n v="2136"/>
    <n v="0"/>
    <n v="792"/>
    <n v="20184"/>
    <n v="24"/>
    <n v="62"/>
    <n v="2832"/>
    <n v="6.0889474606073639"/>
    <n v="39112.962280000007"/>
    <n v="21528"/>
    <n v="7822.5924560000021"/>
    <n v="7824"/>
    <n v="0"/>
    <n v="62388576"/>
    <n v="112736411.99999936"/>
    <n v="110842199.06490004"/>
    <n v="111262421.68830001"/>
    <n v="6315408"/>
    <n v="22582368"/>
    <n v="7151"/>
    <n v="55949424"/>
    <n v="101100837.99999943"/>
    <n v="99402127.603850037"/>
    <n v="99778978.867950007"/>
    <n v="5663592"/>
    <n v="20251632"/>
    <x v="0"/>
    <n v="-13704"/>
    <n v="0"/>
    <n v="0"/>
    <n v="0"/>
  </r>
  <r>
    <n v="1347"/>
    <x v="7"/>
    <s v="PB500006"/>
    <s v="PROMINA BABY CRUNCH CH BROCOLI 20G"/>
    <x v="3"/>
    <n v="7974"/>
    <n v="13471.333333333379"/>
    <n v="15442.08508333337"/>
    <n v="14200.695027777791"/>
    <n v="3122"/>
    <n v="3960"/>
    <n v="1224"/>
    <n v="10272"/>
    <n v="744"/>
    <n v="18648"/>
    <n v="24"/>
    <n v="62"/>
    <n v="17354"/>
    <n v="36.66158585770782"/>
    <n v="26692.188140740807"/>
    <n v="8856"/>
    <n v="5338.4376281481618"/>
    <n v="5328"/>
    <n v="16.866600334102102"/>
    <n v="42485472"/>
    <n v="107420412.00000037"/>
    <n v="123135186.45450029"/>
    <n v="113236342.15150011"/>
    <n v="5932656"/>
    <n v="138380796"/>
    <n v="7151"/>
    <n v="38100528"/>
    <n v="96333504.666666999"/>
    <n v="110426350.43091692"/>
    <n v="101549170.14363898"/>
    <n v="5320344"/>
    <n v="124098454"/>
    <x v="0"/>
    <n v="-3528"/>
    <n v="0"/>
    <n v="0"/>
    <n v="0"/>
  </r>
  <r>
    <n v="1348"/>
    <x v="7"/>
    <s v="PB500008"/>
    <s v="SUN MP SEREAL BERAS MERAH SACH 20G"/>
    <x v="1"/>
    <n v="940"/>
    <n v="439.33333333332996"/>
    <n v="1426.0935999999999"/>
    <n v="755.36453333333327"/>
    <n v="2577"/>
    <n v="0"/>
    <n v="0"/>
    <n v="600"/>
    <n v="0"/>
    <n v="0"/>
    <n v="300"/>
    <n v="62"/>
    <n v="3177"/>
    <n v="126.17748887336342"/>
    <n v="0"/>
    <n v="0"/>
    <n v="0"/>
    <n v="0"/>
    <n v="69.538864590588858"/>
    <n v="0"/>
    <n v="412973.33333333017"/>
    <n v="1340527.9839999999"/>
    <n v="710042.66133333324"/>
    <n v="0"/>
    <n v="2986380"/>
    <n v="843"/>
    <n v="0"/>
    <n v="370357.99999999715"/>
    <n v="1202196.9047999999"/>
    <n v="636772.30159999989"/>
    <n v="0"/>
    <n v="2678211"/>
    <x v="0"/>
    <n v="0"/>
    <n v="0"/>
    <n v="0"/>
    <n v="0"/>
  </r>
  <r>
    <n v="1349"/>
    <x v="7"/>
    <s v="PB500009"/>
    <s v="SUN MP SEREAL KCG HIJAU SACH 20G"/>
    <x v="1"/>
    <n v="940"/>
    <n v="206.66666666666998"/>
    <n v="547.91999999999996"/>
    <n v="335.97333333333336"/>
    <n v="1702"/>
    <n v="0"/>
    <n v="0"/>
    <n v="300"/>
    <n v="0"/>
    <n v="0"/>
    <n v="300"/>
    <n v="62"/>
    <n v="2002"/>
    <n v="178.7641876339392"/>
    <n v="0"/>
    <n v="0"/>
    <n v="0"/>
    <n v="0"/>
    <n v="129.83887610127786"/>
    <n v="0"/>
    <n v="194266.66666666977"/>
    <n v="515044.8"/>
    <n v="315814.93333333335"/>
    <n v="0"/>
    <n v="1881880"/>
    <n v="843"/>
    <n v="0"/>
    <n v="174220.00000000279"/>
    <n v="461896.55999999994"/>
    <n v="283225.52"/>
    <n v="0"/>
    <n v="1687686"/>
    <x v="0"/>
    <n v="0"/>
    <n v="0"/>
    <n v="0"/>
    <n v="0"/>
  </r>
  <r>
    <n v="1350"/>
    <x v="7"/>
    <s v="PB500010"/>
    <s v="SUN MP SEREAL PISANG SACHET 20G"/>
    <x v="1"/>
    <n v="940"/>
    <n v="339.99999999999665"/>
    <n v="779.38175000000001"/>
    <n v="446.46058333333332"/>
    <n v="1653"/>
    <n v="0"/>
    <n v="0"/>
    <n v="0"/>
    <n v="0"/>
    <n v="600"/>
    <n v="300"/>
    <n v="62"/>
    <n v="1653"/>
    <n v="111.07363527985953"/>
    <n v="49.066955555555523"/>
    <n v="600"/>
    <n v="49.066955555555523"/>
    <n v="0"/>
    <n v="58.702937008063607"/>
    <n v="0"/>
    <n v="319599.99999999686"/>
    <n v="732618.84499999997"/>
    <n v="419672.9483333333"/>
    <n v="0"/>
    <n v="1553820"/>
    <n v="843"/>
    <n v="0"/>
    <n v="286619.99999999715"/>
    <n v="657018.81524999999"/>
    <n v="376366.27175000001"/>
    <n v="0"/>
    <n v="1393479"/>
    <x v="0"/>
    <n v="-600"/>
    <n v="0"/>
    <n v="0"/>
    <n v="0"/>
  </r>
  <r>
    <n v="1351"/>
    <x v="7"/>
    <s v="PB500012"/>
    <s v="MP ASI BISKUIT 18 GR"/>
    <x v="2"/>
    <n v="743.24"/>
    <n v="4303.9999999999636"/>
    <n v="2464.3032166666676"/>
    <n v="4028.4344055555566"/>
    <n v="0"/>
    <n v="1000"/>
    <n v="600"/>
    <n v="0"/>
    <n v="0"/>
    <n v="3000"/>
    <n v="200"/>
    <n v="62"/>
    <n v="1000"/>
    <n v="7.447061806102"/>
    <n v="9789.7343214814846"/>
    <n v="3600"/>
    <n v="0"/>
    <n v="0"/>
    <n v="0"/>
    <n v="0"/>
    <n v="3198904.959999973"/>
    <n v="1831568.7227553341"/>
    <n v="2994093.5875851121"/>
    <n v="0"/>
    <n v="743240"/>
    <n v="666.6"/>
    <n v="0"/>
    <n v="2869046.3999999757"/>
    <n v="1642704.5242300006"/>
    <n v="2685354.374743334"/>
    <n v="0"/>
    <n v="666600"/>
    <x v="0"/>
    <n v="-3600"/>
    <n v="0"/>
    <n v="0"/>
    <n v="0"/>
  </r>
  <r>
    <n v="1352"/>
    <x v="7"/>
    <s v="PB500014"/>
    <s v="PRO BC SALMON LABU MADU BOX 120GR"/>
    <x v="1"/>
    <n v="13961"/>
    <n v="3653.0000000000005"/>
    <n v="3515.2167833333301"/>
    <n v="3645.7389277777766"/>
    <n v="1569"/>
    <n v="0"/>
    <n v="216"/>
    <n v="0"/>
    <n v="216"/>
    <n v="4776"/>
    <n v="24"/>
    <n v="62"/>
    <n v="1569"/>
    <n v="12.910962889131243"/>
    <n v="9264.7439007407356"/>
    <n v="4776"/>
    <n v="9264.7439007407356"/>
    <n v="9264"/>
    <n v="61.993878601111014"/>
    <n v="129334704"/>
    <n v="50999533.000000007"/>
    <n v="49075941.512116618"/>
    <n v="50898161.170705542"/>
    <n v="3015576"/>
    <n v="21904809"/>
    <n v="12521"/>
    <n v="115994544"/>
    <n v="45739213.000000007"/>
    <n v="44014029.344116628"/>
    <n v="45648297.11470554"/>
    <n v="2704536"/>
    <n v="19645449"/>
    <x v="0"/>
    <n v="4488"/>
    <n v="0"/>
    <n v="0"/>
    <n v="0"/>
  </r>
  <r>
    <n v="1353"/>
    <x v="7"/>
    <s v="PB500015"/>
    <s v="SUN BS SUSU D SAPI&amp;KC MRH BOX 120GR"/>
    <x v="2"/>
    <n v="9126"/>
    <n v="1734.3333333333262"/>
    <n v="1920.2780166666621"/>
    <n v="1857.0926722222207"/>
    <n v="1599"/>
    <n v="0"/>
    <n v="48"/>
    <n v="0"/>
    <n v="48"/>
    <n v="1824"/>
    <n v="24"/>
    <n v="62"/>
    <n v="1599"/>
    <n v="25.830698013900669"/>
    <n v="4111.2695392592523"/>
    <n v="1824"/>
    <n v="4111.2695392592523"/>
    <n v="4104"/>
    <n v="61.882565807813691"/>
    <n v="37453104"/>
    <n v="15827525.999999935"/>
    <n v="17524457.180099957"/>
    <n v="16947827.726699986"/>
    <n v="438048"/>
    <n v="14592474"/>
    <n v="8185"/>
    <n v="33591240"/>
    <n v="14195518.333333274"/>
    <n v="15717475.566416629"/>
    <n v="15200303.522138877"/>
    <n v="392880"/>
    <n v="13087815"/>
    <x v="0"/>
    <n v="2280"/>
    <n v="0"/>
    <n v="0"/>
    <n v="0"/>
  </r>
  <r>
    <n v="1354"/>
    <x v="7"/>
    <s v="PB500016"/>
    <s v="SUN MARIE KEJU 80 GR"/>
    <x v="2"/>
    <n v="7062"/>
    <n v="1133.666666666654"/>
    <n v="1792.3107833333299"/>
    <n v="1365.7702611111101"/>
    <n v="17729"/>
    <n v="160"/>
    <n v="0"/>
    <n v="0"/>
    <n v="0"/>
    <n v="1160"/>
    <n v="40"/>
    <n v="62"/>
    <n v="17889"/>
    <n v="392.94309978853761"/>
    <n v="0"/>
    <n v="1160"/>
    <n v="0"/>
    <n v="0"/>
    <n v="353.57386981551389"/>
    <n v="0"/>
    <n v="8005953.9999999106"/>
    <n v="12657298.751899976"/>
    <n v="9645069.5839666594"/>
    <n v="0"/>
    <n v="126332118"/>
    <n v="6334"/>
    <n v="0"/>
    <n v="7180644.6666665869"/>
    <n v="11352496.501633313"/>
    <n v="8650788.8338777721"/>
    <n v="0"/>
    <n v="113308926"/>
    <x v="0"/>
    <n v="-1160"/>
    <n v="0"/>
    <n v="0"/>
    <n v="0"/>
  </r>
  <r>
    <n v="1355"/>
    <x v="7"/>
    <s v="PB500017"/>
    <s v="PRO RICE CRACKERS MIXED BERRIES 20G"/>
    <x v="2"/>
    <n v="11654"/>
    <n v="6765.3333333333394"/>
    <n v="6463.0183333333416"/>
    <n v="6849.6727777777814"/>
    <n v="6254"/>
    <n v="2832"/>
    <n v="960"/>
    <n v="3072"/>
    <n v="192"/>
    <n v="2160"/>
    <n v="24"/>
    <n v="62"/>
    <n v="12158"/>
    <n v="53.249259027864319"/>
    <n v="8269.0087407407591"/>
    <n v="0"/>
    <n v="8269.0087407407591"/>
    <n v="8280"/>
    <n v="62.048139201458945"/>
    <n v="96495120"/>
    <n v="78843194.666666731"/>
    <n v="75320015.656666771"/>
    <n v="79826086.552222267"/>
    <n v="2237568"/>
    <n v="141689332"/>
    <n v="10452"/>
    <n v="86542560"/>
    <n v="70711264.00000006"/>
    <n v="67551467.620000079"/>
    <n v="71592779.873333365"/>
    <n v="2006784"/>
    <n v="127075416"/>
    <x v="0"/>
    <n v="8280"/>
    <n v="0"/>
    <n v="0"/>
    <n v="0"/>
  </r>
  <r>
    <n v="1356"/>
    <x v="7"/>
    <s v="PB500018"/>
    <s v="PRO  SOFTCORN STRAWBERRY YOGURT 15G"/>
    <x v="2"/>
    <n v="6431"/>
    <n v="4714.3333333333276"/>
    <n v="4580.2983333333304"/>
    <n v="4331.4327777777771"/>
    <n v="3763"/>
    <n v="1152"/>
    <n v="648"/>
    <n v="1080"/>
    <n v="96"/>
    <n v="1680"/>
    <n v="24"/>
    <n v="62"/>
    <n v="5995"/>
    <n v="41.522057302311701"/>
    <n v="7440.9260740740701"/>
    <n v="1152"/>
    <n v="7440.9260740740701"/>
    <n v="7440"/>
    <n v="61.993585904792376"/>
    <n v="47846640"/>
    <n v="30317877.666666631"/>
    <n v="29455898.581666648"/>
    <n v="27855444.193888884"/>
    <n v="617376"/>
    <n v="38553845"/>
    <n v="5768"/>
    <n v="42913920"/>
    <n v="27192274.666666634"/>
    <n v="26419160.78666665"/>
    <n v="24983704.262222219"/>
    <n v="553728"/>
    <n v="34579160"/>
    <x v="0"/>
    <n v="6288"/>
    <n v="624"/>
    <n v="1392"/>
    <n v="2160"/>
  </r>
  <r>
    <n v="1357"/>
    <x v="7"/>
    <s v="PB500019"/>
    <s v="PROMINA SOFTCORN BUTTERMILK 15G"/>
    <x v="2"/>
    <n v="6431"/>
    <n v="4750.6666666666761"/>
    <n v="3641.3979833333333"/>
    <n v="4111.7993277777778"/>
    <n v="2796"/>
    <n v="1080"/>
    <n v="1320"/>
    <n v="672"/>
    <n v="264"/>
    <n v="2208"/>
    <n v="24"/>
    <n v="62"/>
    <n v="4548"/>
    <n v="33.182553214176188"/>
    <n v="7327.1165940740757"/>
    <n v="2592"/>
    <n v="7327.1165940740757"/>
    <n v="7320"/>
    <n v="61.948076789453246"/>
    <n v="47074920"/>
    <n v="30551537.333333395"/>
    <n v="23417830.430816665"/>
    <n v="26442981.476938888"/>
    <n v="1697784"/>
    <n v="29248188"/>
    <n v="5768"/>
    <n v="42221760"/>
    <n v="27401845.333333388"/>
    <n v="21003583.567866668"/>
    <n v="23716858.522622224"/>
    <n v="1522752"/>
    <n v="26232864"/>
    <x v="0"/>
    <n v="4728"/>
    <n v="360"/>
    <n v="912"/>
    <n v="1392"/>
  </r>
  <r>
    <n v="1358"/>
    <x v="7"/>
    <s v="PB500020"/>
    <s v="SUN BABY PUFFS KEJU 10 SAC @10G"/>
    <x v="2"/>
    <n v="22523"/>
    <n v="950.33333333333326"/>
    <n v="977.65306666667004"/>
    <n v="1088.8843555555566"/>
    <n v="0"/>
    <n v="60"/>
    <n v="120"/>
    <n v="120"/>
    <n v="0"/>
    <n v="1740"/>
    <n v="60"/>
    <n v="62"/>
    <n v="180"/>
    <n v="4.9592043199526747"/>
    <n v="3048.0140681481539"/>
    <n v="1740"/>
    <n v="3048.0140681481539"/>
    <n v="3060"/>
    <n v="62.330226027879633"/>
    <n v="68920380"/>
    <n v="21404357.666666664"/>
    <n v="22019680.020533409"/>
    <n v="24524942.340177801"/>
    <n v="0"/>
    <n v="4054140"/>
    <n v="20198"/>
    <n v="61805880"/>
    <n v="19194832.666666664"/>
    <n v="19746636.640533403"/>
    <n v="21993286.213511132"/>
    <n v="0"/>
    <n v="3635640"/>
    <x v="0"/>
    <n v="1320"/>
    <n v="600"/>
    <n v="780"/>
    <n v="900"/>
  </r>
  <r>
    <n v="1359"/>
    <x v="7"/>
    <s v="PB500021"/>
    <s v="SUN BABY PUFFS STROBERI 10 SAC @10G"/>
    <x v="2"/>
    <n v="22523"/>
    <n v="1115.3333333333353"/>
    <n v="1118.2336"/>
    <n v="1072.4111999999998"/>
    <n v="0"/>
    <n v="60"/>
    <n v="60"/>
    <n v="0"/>
    <n v="60"/>
    <n v="1680"/>
    <n v="60"/>
    <n v="62"/>
    <n v="60"/>
    <n v="1.6784606501685178"/>
    <n v="3214.55008"/>
    <n v="1680"/>
    <n v="3214.55008"/>
    <n v="3240"/>
    <n v="62.711944821165623"/>
    <n v="72974520"/>
    <n v="25120652.666666713"/>
    <n v="25185975.3728"/>
    <n v="24153917.457599994"/>
    <n v="1351380"/>
    <n v="1351380"/>
    <n v="20198"/>
    <n v="65441520"/>
    <n v="22527502.666666705"/>
    <n v="22586082.252799999"/>
    <n v="21660561.417599995"/>
    <n v="1211880"/>
    <n v="1211880"/>
    <x v="0"/>
    <n v="1560"/>
    <n v="0"/>
    <n v="0"/>
    <n v="0"/>
  </r>
  <r>
    <n v="1360"/>
    <x v="7"/>
    <s v="PB500022"/>
    <s v="GOWELL BELGIAN CHOCO 10 SAC @30GR"/>
    <x v="1"/>
    <n v="11712"/>
    <n v="0"/>
    <n v="0"/>
    <n v="0"/>
    <n v="0"/>
    <n v="0"/>
    <n v="0"/>
    <n v="0"/>
    <n v="0"/>
    <n v="0"/>
    <n v="24"/>
    <n v="62"/>
    <n v="0"/>
    <n v="0"/>
    <n v="0"/>
    <n v="0"/>
    <n v="0"/>
    <n v="0"/>
    <n v="0"/>
    <n v="0"/>
    <n v="0"/>
    <n v="0"/>
    <n v="0"/>
    <n v="0"/>
    <n v="0"/>
    <n v="10505"/>
    <n v="0"/>
    <n v="0"/>
    <n v="0"/>
    <n v="0"/>
    <n v="0"/>
    <n v="0"/>
    <x v="0"/>
    <n v="0"/>
    <n v="0"/>
    <n v="0"/>
    <n v="0"/>
  </r>
  <r>
    <n v="1361"/>
    <x v="7"/>
    <s v="PB500023"/>
    <s v="GOWELL FRENCH VANILA 10 SAC @30GR"/>
    <x v="1"/>
    <n v="11712"/>
    <n v="0"/>
    <n v="0"/>
    <n v="0"/>
    <n v="0"/>
    <n v="0"/>
    <n v="0"/>
    <n v="0"/>
    <n v="0"/>
    <n v="0"/>
    <n v="24"/>
    <n v="62"/>
    <n v="0"/>
    <n v="0"/>
    <n v="0"/>
    <n v="0"/>
    <n v="0"/>
    <n v="0"/>
    <n v="0"/>
    <n v="0"/>
    <n v="0"/>
    <n v="0"/>
    <n v="0"/>
    <n v="0"/>
    <n v="0"/>
    <n v="10505"/>
    <n v="0"/>
    <n v="0"/>
    <n v="0"/>
    <n v="0"/>
    <n v="0"/>
    <n v="0"/>
    <x v="0"/>
    <n v="0"/>
    <n v="0"/>
    <n v="0"/>
    <n v="0"/>
  </r>
  <r>
    <n v="1362"/>
    <x v="7"/>
    <s v="PB500024"/>
    <s v="GOWELL MILKY TARO 10 SAC @29GR"/>
    <x v="1"/>
    <n v="11712"/>
    <n v="0"/>
    <n v="0"/>
    <n v="0"/>
    <n v="0"/>
    <n v="0"/>
    <n v="0"/>
    <n v="0"/>
    <n v="0"/>
    <n v="0"/>
    <n v="24"/>
    <n v="62"/>
    <n v="0"/>
    <n v="0"/>
    <n v="0"/>
    <n v="0"/>
    <n v="0"/>
    <n v="0"/>
    <n v="0"/>
    <n v="0"/>
    <n v="0"/>
    <n v="0"/>
    <n v="0"/>
    <n v="0"/>
    <n v="0"/>
    <n v="10505"/>
    <n v="0"/>
    <n v="0"/>
    <n v="0"/>
    <n v="0"/>
    <n v="0"/>
    <n v="0"/>
    <x v="0"/>
    <n v="0"/>
    <n v="0"/>
    <n v="0"/>
    <n v="0"/>
  </r>
  <r>
    <n v="1363"/>
    <x v="7"/>
    <s v="PB500025"/>
    <s v="PROMINA PUFFS WAGYU BEEF 15 GR"/>
    <x v="4"/>
    <n v="5771"/>
    <n v="15227.333333333308"/>
    <n v="13488.47318333333"/>
    <n v="14936.824394444446"/>
    <n v="9206"/>
    <n v="4176"/>
    <n v="3120"/>
    <n v="5472"/>
    <n v="432"/>
    <n v="8832"/>
    <n v="24"/>
    <n v="62"/>
    <n v="18854"/>
    <n v="37.867486760463947"/>
    <n v="25071.910265185186"/>
    <n v="6048"/>
    <n v="7521.5730795555555"/>
    <n v="7512"/>
    <n v="26.73163946738968"/>
    <n v="43351752"/>
    <n v="87876940.666666523"/>
    <n v="77841978.741016641"/>
    <n v="86200413.580338895"/>
    <n v="2493072"/>
    <n v="108806434"/>
    <n v="5177"/>
    <n v="38889624"/>
    <n v="78831904.666666538"/>
    <n v="69829825.670116648"/>
    <n v="77327939.890038893"/>
    <n v="2236464"/>
    <n v="97607158"/>
    <x v="0"/>
    <n v="1464"/>
    <n v="0"/>
    <n v="0"/>
    <n v="840"/>
  </r>
  <r>
    <n v="1364"/>
    <x v="7"/>
    <s v="PB500026"/>
    <s v="PROMINA MELTY BUNS STRAWBERRY 42 GR"/>
    <x v="4"/>
    <n v="6801"/>
    <n v="3783.3333333333303"/>
    <n v="3930.7803833333301"/>
    <n v="4080.2601277777771"/>
    <n v="3842"/>
    <n v="672"/>
    <n v="936"/>
    <n v="601"/>
    <n v="48"/>
    <n v="1824"/>
    <n v="24"/>
    <n v="62"/>
    <n v="5115"/>
    <n v="37.607896358209189"/>
    <n v="7200.3179807407359"/>
    <n v="2111"/>
    <n v="2160.0953942222209"/>
    <n v="2160"/>
    <n v="24.941201127641097"/>
    <n v="14690160"/>
    <n v="25730449.999999978"/>
    <n v="26733237.387049977"/>
    <n v="27749849.129016664"/>
    <n v="326448"/>
    <n v="34787115"/>
    <n v="6099"/>
    <n v="13173840"/>
    <n v="23074549.999999981"/>
    <n v="23973829.557949979"/>
    <n v="24885506.519316662"/>
    <n v="292752"/>
    <n v="31196385"/>
    <x v="0"/>
    <n v="49"/>
    <n v="455"/>
    <n v="911"/>
    <n v="1271"/>
  </r>
  <r>
    <n v="1365"/>
    <x v="7"/>
    <s v="PB500027"/>
    <s v="PROMINA MELTY BUNS ORIGINAL 42 GR"/>
    <x v="4"/>
    <n v="6801"/>
    <n v="3478.6666666666533"/>
    <n v="3463.1035000000034"/>
    <n v="3532.3678333333346"/>
    <n v="242"/>
    <n v="288"/>
    <n v="360"/>
    <n v="240"/>
    <n v="24"/>
    <n v="5232"/>
    <n v="24"/>
    <n v="62"/>
    <n v="770"/>
    <n v="6.5395228045097396"/>
    <n v="9969.3303555555631"/>
    <n v="5328"/>
    <n v="2990.7991066666686"/>
    <n v="3000"/>
    <n v="2.8102665034836818"/>
    <n v="20403000"/>
    <n v="23658411.999999911"/>
    <n v="23552566.903500024"/>
    <n v="24023633.634500008"/>
    <n v="163224"/>
    <n v="5236770"/>
    <n v="6099"/>
    <n v="18297000"/>
    <n v="21216387.999999918"/>
    <n v="21121468.246500019"/>
    <n v="21543911.415500008"/>
    <n v="146376"/>
    <n v="4696230"/>
    <x v="0"/>
    <n v="-2328"/>
    <n v="1128"/>
    <n v="1704"/>
    <n v="2232"/>
  </r>
  <r>
    <n v="1366"/>
    <x v="7"/>
    <s v="PB500028"/>
    <s v="PRO BTI DAGING BROKOLI SACH 20 GR"/>
    <x v="1"/>
    <n v="2273"/>
    <n v="2803.0000000000141"/>
    <n v="2390.3109833333301"/>
    <n v="2707.7703277777764"/>
    <n v="4395"/>
    <n v="450"/>
    <n v="100"/>
    <n v="950"/>
    <n v="0"/>
    <n v="400"/>
    <n v="50"/>
    <n v="62"/>
    <n v="5795"/>
    <n v="64.204115916535613"/>
    <n v="2191.3696607407355"/>
    <n v="0"/>
    <n v="657.41089822222068"/>
    <n v="650"/>
    <n v="44.922816847553179"/>
    <n v="1477450"/>
    <n v="6371219.0000000317"/>
    <n v="5433176.8651166596"/>
    <n v="6154761.9550388856"/>
    <n v="0"/>
    <n v="13172035"/>
    <n v="2038"/>
    <n v="1324700"/>
    <n v="5712514.0000000289"/>
    <n v="4871453.7840333264"/>
    <n v="5518435.9280111082"/>
    <n v="0"/>
    <n v="11810210"/>
    <x v="0"/>
    <n v="650"/>
    <n v="0"/>
    <n v="0"/>
    <n v="0"/>
  </r>
  <r>
    <n v="1367"/>
    <x v="7"/>
    <s v="PB500029"/>
    <s v="PROMINA YOGURT MELTS MILK 8G"/>
    <x v="4"/>
    <n v="10132"/>
    <n v="9214.3333333333485"/>
    <n v="6816.8427666666694"/>
    <n v="8259.280922222224"/>
    <n v="8662"/>
    <n v="1680"/>
    <n v="1440"/>
    <n v="4944"/>
    <n v="552"/>
    <n v="1680"/>
    <n v="24"/>
    <n v="62"/>
    <n v="15286"/>
    <n v="55.522993383861738"/>
    <n v="8048.0233392592672"/>
    <n v="0"/>
    <n v="2414.4070017777799"/>
    <n v="2424"/>
    <n v="41.571986742354035"/>
    <n v="24559968"/>
    <n v="93359625.333333492"/>
    <n v="69068250.911866695"/>
    <n v="83683034.30395557"/>
    <n v="5592864"/>
    <n v="154877752"/>
    <n v="9087"/>
    <n v="22026888"/>
    <n v="83730647.000000134"/>
    <n v="61944650.220700026"/>
    <n v="75052085.740233347"/>
    <n v="5016024"/>
    <n v="138903882"/>
    <x v="0"/>
    <n v="2424"/>
    <n v="0"/>
    <n v="0"/>
    <n v="0"/>
  </r>
  <r>
    <n v="1368"/>
    <x v="7"/>
    <s v="PB500030"/>
    <s v="PROMINA YOGURT MELTS STRAWBERRY 8G"/>
    <x v="4"/>
    <n v="10132"/>
    <n v="10058.333333333316"/>
    <n v="8727.6034500000005"/>
    <n v="9458.2011500000026"/>
    <n v="10689"/>
    <n v="2016"/>
    <n v="1824"/>
    <n v="5736"/>
    <n v="552"/>
    <n v="2040"/>
    <n v="24"/>
    <n v="62"/>
    <n v="18441"/>
    <n v="58.492094979392547"/>
    <n v="9281.5524933333436"/>
    <n v="0"/>
    <n v="2784.4657480000028"/>
    <n v="2784"/>
    <n v="41.390734907345447"/>
    <n v="28207488"/>
    <n v="101911033.33333315"/>
    <n v="88428078.155400008"/>
    <n v="95830494.051800027"/>
    <n v="5592864"/>
    <n v="186844212"/>
    <n v="9087"/>
    <n v="25298208"/>
    <n v="91400074.999999836"/>
    <n v="79307732.550150007"/>
    <n v="85946673.850050017"/>
    <n v="5016024"/>
    <n v="167573367"/>
    <x v="0"/>
    <n v="2784"/>
    <n v="0"/>
    <n v="0"/>
    <n v="0"/>
  </r>
  <r>
    <n v="1369"/>
    <x v="7"/>
    <s v="PB500031"/>
    <s v="SUN BC SUSU LIWET AYAM KP BOX 120GR"/>
    <x v="4"/>
    <n v="9126"/>
    <n v="1240.666666666669"/>
    <n v="1270.3468499999963"/>
    <n v="1321.4489499999988"/>
    <n v="1912"/>
    <n v="312"/>
    <n v="288"/>
    <n v="120"/>
    <n v="120"/>
    <n v="480"/>
    <n v="24"/>
    <n v="62"/>
    <n v="2344"/>
    <n v="53.21431448411235"/>
    <n v="1537.3413466666607"/>
    <n v="528"/>
    <n v="1537.3413466666607"/>
    <n v="1536"/>
    <n v="61.969548275020522"/>
    <n v="14017536"/>
    <n v="11322324.000000022"/>
    <n v="11593185.353099966"/>
    <n v="12059543.11769999"/>
    <n v="1095120"/>
    <n v="21391344"/>
    <n v="8185"/>
    <n v="12572160"/>
    <n v="10154856.666666687"/>
    <n v="10397788.967249969"/>
    <n v="10816059.65574999"/>
    <n v="982200"/>
    <n v="19185640"/>
    <x v="0"/>
    <n v="1008"/>
    <n v="120"/>
    <n v="168"/>
    <n v="216"/>
  </r>
  <r>
    <n v="1370"/>
    <x v="7"/>
    <s v="PB500032"/>
    <s v="SUN BTI SOTO AYAM 100GR"/>
    <x v="4"/>
    <n v="12121"/>
    <n v="1179.9999999999991"/>
    <n v="1130.6043166666691"/>
    <n v="1239.8681055555567"/>
    <n v="1418"/>
    <n v="336"/>
    <n v="96"/>
    <n v="24"/>
    <n v="0"/>
    <n v="768"/>
    <n v="24"/>
    <n v="62"/>
    <n v="1778"/>
    <n v="43.020704993536036"/>
    <n v="1914.9984014814863"/>
    <n v="840"/>
    <n v="1914.9984014814863"/>
    <n v="1920"/>
    <n v="62.121019288167091"/>
    <n v="23272320"/>
    <n v="14302779.999999989"/>
    <n v="13704054.922316696"/>
    <n v="15028441.307438903"/>
    <n v="0"/>
    <n v="21551138"/>
    <n v="10870"/>
    <n v="20870400"/>
    <n v="12826599.999999991"/>
    <n v="12289668.922166694"/>
    <n v="13477366.307388902"/>
    <n v="0"/>
    <n v="19326860"/>
    <x v="0"/>
    <n v="1080"/>
    <n v="600"/>
    <n v="720"/>
    <n v="912"/>
  </r>
  <r>
    <n v="1371"/>
    <x v="7"/>
    <s v="PB500033"/>
    <s v="SUN BTI OPOR AYAM 100GR"/>
    <x v="4"/>
    <n v="12121"/>
    <n v="985.9999999999975"/>
    <n v="1047.0233333333399"/>
    <n v="1046.6744444444466"/>
    <n v="1062"/>
    <n v="288"/>
    <n v="120"/>
    <n v="0"/>
    <n v="48"/>
    <n v="816"/>
    <n v="24"/>
    <n v="62"/>
    <n v="1350"/>
    <n v="38.6939799810404"/>
    <n v="1812.1505185185297"/>
    <n v="888"/>
    <n v="1812.1505185185297"/>
    <n v="1824"/>
    <n v="62.339632295725728"/>
    <n v="22108704"/>
    <n v="11951305.99999997"/>
    <n v="12690969.823333412"/>
    <n v="12686740.941111138"/>
    <n v="581808"/>
    <n v="16363350"/>
    <n v="10870"/>
    <n v="19826880"/>
    <n v="10717819.999999972"/>
    <n v="11381143.633333405"/>
    <n v="11377351.211111136"/>
    <n v="521760"/>
    <n v="14674500"/>
    <x v="0"/>
    <n v="936"/>
    <n v="0"/>
    <n v="0"/>
    <n v="0"/>
  </r>
  <r>
    <n v="1372"/>
    <x v="7"/>
    <s v="PB500034"/>
    <s v="SUN BABY CRUNCH COK PIS 10SAC @10GR"/>
    <x v="4"/>
    <n v="22523"/>
    <n v="-1.3333333333333601"/>
    <n v="465.1"/>
    <n v="153.36666666666667"/>
    <n v="1105"/>
    <n v="0"/>
    <n v="0"/>
    <n v="120"/>
    <n v="0"/>
    <n v="180"/>
    <n v="60"/>
    <n v="62"/>
    <n v="1225"/>
    <n v="239.62182134318627"/>
    <n v="0"/>
    <n v="60"/>
    <n v="0"/>
    <n v="0"/>
    <n v="148.6437730928059"/>
    <n v="0"/>
    <n v="-30030.666666667272"/>
    <n v="10475447.300000001"/>
    <n v="3454277.4333333336"/>
    <n v="0"/>
    <n v="27590675"/>
    <n v="20198"/>
    <n v="0"/>
    <n v="-26930.666666667206"/>
    <n v="9394089.8000000007"/>
    <n v="3097699.9333333336"/>
    <n v="0"/>
    <n v="24742550"/>
    <x v="0"/>
    <n v="-60"/>
    <n v="0"/>
    <n v="0"/>
    <n v="0"/>
  </r>
  <r>
    <n v="1373"/>
    <x v="7"/>
    <s v="PB500035"/>
    <s v="SUN BABY CRUNCH AYM JMR 10SAC @10GR"/>
    <x v="4"/>
    <n v="22523"/>
    <n v="194.99999999999977"/>
    <n v="758.38199999999904"/>
    <n v="358.46066666666633"/>
    <n v="0"/>
    <n v="0"/>
    <n v="0"/>
    <n v="0"/>
    <n v="0"/>
    <n v="480"/>
    <n v="60"/>
    <n v="62"/>
    <n v="0"/>
    <n v="0"/>
    <n v="1499.2007111111095"/>
    <n v="480"/>
    <n v="1499.2007111111095"/>
    <n v="1500"/>
    <n v="62.066893438796768"/>
    <n v="33784500"/>
    <n v="4391984.9999999953"/>
    <n v="17081037.78599998"/>
    <n v="8073609.5953333257"/>
    <n v="0"/>
    <n v="0"/>
    <n v="20198"/>
    <n v="30297000"/>
    <n v="3938609.9999999953"/>
    <n v="15317799.635999981"/>
    <n v="7240188.5453333268"/>
    <n v="0"/>
    <n v="0"/>
    <x v="0"/>
    <n v="1020"/>
    <n v="0"/>
    <n v="0"/>
    <n v="0"/>
  </r>
  <r>
    <n v="1374"/>
    <x v="7"/>
    <s v="PB500036"/>
    <s v="PROMINA CREAM SOUP CORN&amp;CHICKN 30GR"/>
    <x v="4"/>
    <n v="7362"/>
    <n v="1061.6666666666613"/>
    <n v="1591.6482500000002"/>
    <n v="1250.8827500000002"/>
    <n v="1599"/>
    <n v="120"/>
    <n v="120"/>
    <n v="0"/>
    <n v="0"/>
    <n v="2160"/>
    <n v="24"/>
    <n v="62"/>
    <n v="1719"/>
    <n v="41.226885573408055"/>
    <n v="2457.8059333333349"/>
    <n v="2280"/>
    <n v="2457.8059333333349"/>
    <n v="2448"/>
    <n v="61.764823681516091"/>
    <n v="18022176"/>
    <n v="7815989.99999996"/>
    <n v="11717714.416500002"/>
    <n v="9208998.8055000007"/>
    <n v="0"/>
    <n v="12655278"/>
    <n v="6603"/>
    <n v="16164144"/>
    <n v="7010184.9999999646"/>
    <n v="10509653.394750001"/>
    <n v="8259578.7982500019"/>
    <n v="0"/>
    <n v="11350557"/>
    <x v="0"/>
    <n v="168"/>
    <n v="0"/>
    <n v="0"/>
    <n v="0"/>
  </r>
  <r>
    <n v="1375"/>
    <x v="7"/>
    <s v="PB500037"/>
    <s v="PRO RICE CRACKERS BEEF BROCCOLI 20G"/>
    <x v="4"/>
    <n v="11654"/>
    <n v="4991.3333333333312"/>
    <n v="4578.2504999999901"/>
    <n v="5059.0834999999979"/>
    <n v="4083"/>
    <n v="1824"/>
    <n v="1032"/>
    <n v="1728"/>
    <n v="480"/>
    <n v="1968"/>
    <n v="24"/>
    <n v="62"/>
    <n v="7635"/>
    <n v="45.274998920258994"/>
    <n v="6918.6897333333218"/>
    <n v="792"/>
    <n v="6918.6897333333218"/>
    <n v="6912"/>
    <n v="61.960330364185609"/>
    <n v="80552448"/>
    <n v="58168998.666666642"/>
    <n v="53354931.326999888"/>
    <n v="58958559.108999975"/>
    <n v="5593920"/>
    <n v="88978290"/>
    <n v="10452"/>
    <n v="72244224"/>
    <n v="52169415.999999978"/>
    <n v="47851874.225999899"/>
    <n v="52877540.741999976"/>
    <n v="5016960"/>
    <n v="79801020"/>
    <x v="0"/>
    <n v="6120"/>
    <n v="0"/>
    <n v="0"/>
    <n v="0"/>
  </r>
  <r>
    <n v="1376"/>
    <x v="7"/>
    <s v="PB500038"/>
    <s v="PRO PASTA SPAGHETTI BOLOGNESE 60 G"/>
    <x v="4"/>
    <n v="8002"/>
    <n v="2900.3333333333239"/>
    <n v="2746.6782333333231"/>
    <n v="2890.8927444444403"/>
    <n v="3715"/>
    <n v="528"/>
    <n v="480"/>
    <n v="1056"/>
    <n v="192"/>
    <n v="360"/>
    <n v="24"/>
    <n v="62"/>
    <n v="5299"/>
    <n v="54.989933578649662"/>
    <n v="3230.1899051851669"/>
    <n v="0"/>
    <n v="3230.1899051851669"/>
    <n v="3240"/>
    <n v="62.101803446361188"/>
    <n v="25926480"/>
    <n v="23208467.333333258"/>
    <n v="21978919.223133251"/>
    <n v="23132923.74104441"/>
    <n v="1536384"/>
    <n v="42402598"/>
    <n v="7177"/>
    <n v="23253480"/>
    <n v="20815692.333333265"/>
    <n v="19712909.680633258"/>
    <n v="20747937.226877749"/>
    <n v="1377984"/>
    <n v="38030923"/>
    <x v="0"/>
    <n v="3240"/>
    <n v="0"/>
    <n v="0"/>
    <n v="0"/>
  </r>
  <r>
    <n v="1377"/>
    <x v="7"/>
    <s v="PB500039"/>
    <s v="PRO MULTIGRAIN CS CHO ALMOND QUINOA"/>
    <x v="4"/>
    <n v="6686"/>
    <n v="3092.3333333333262"/>
    <n v="2363.9114500000005"/>
    <n v="2920.970483333334"/>
    <n v="2588"/>
    <n v="240"/>
    <n v="336"/>
    <n v="0"/>
    <n v="48"/>
    <n v="2472"/>
    <n v="24"/>
    <n v="62"/>
    <n v="2828"/>
    <n v="29.045141155682906"/>
    <n v="5524.5837822222238"/>
    <n v="2760"/>
    <n v="5524.5837822222238"/>
    <n v="5520"/>
    <n v="61.952921993751261"/>
    <n v="36906720"/>
    <n v="20675340.666666619"/>
    <n v="15805111.954700004"/>
    <n v="19529608.651566669"/>
    <n v="320928"/>
    <n v="18908008"/>
    <n v="5996"/>
    <n v="33097920"/>
    <n v="18541630.666666623"/>
    <n v="14174013.054200003"/>
    <n v="17514139.018066671"/>
    <n v="287808"/>
    <n v="16956688"/>
    <x v="0"/>
    <n v="2760"/>
    <n v="0"/>
    <n v="0"/>
    <n v="0"/>
  </r>
  <r>
    <n v="1378"/>
    <x v="7"/>
    <s v="PB500040"/>
    <s v="PRO MULTIGRAIN CS BLUBERI CHEESEOAT"/>
    <x v="4"/>
    <n v="6686"/>
    <n v="1213.9999999999968"/>
    <n v="1364.5081499999999"/>
    <n v="1474.8360500000001"/>
    <n v="1178"/>
    <n v="216"/>
    <n v="192"/>
    <n v="6984"/>
    <n v="0"/>
    <n v="936"/>
    <n v="24"/>
    <n v="62"/>
    <n v="8378"/>
    <n v="170.41894249872723"/>
    <n v="0"/>
    <n v="0"/>
    <n v="0"/>
    <n v="0"/>
    <n v="142.66314923614729"/>
    <n v="0"/>
    <n v="8116803.9999999786"/>
    <n v="9123101.4908999987"/>
    <n v="9860753.8303000014"/>
    <n v="0"/>
    <n v="56015308"/>
    <n v="5996"/>
    <n v="0"/>
    <n v="7279143.9999999814"/>
    <n v="8181590.8673999989"/>
    <n v="8843116.9558000006"/>
    <n v="0"/>
    <n v="50234488"/>
    <x v="0"/>
    <n v="0"/>
    <n v="0"/>
    <n v="0"/>
    <n v="0"/>
  </r>
  <r>
    <n v="1379"/>
    <x v="7"/>
    <s v="PB500041"/>
    <s v="PRO MULTIGRAIN ROLL BLBRY CHES 20 G"/>
    <x v="4"/>
    <n v="11659"/>
    <n v="0"/>
    <n v="240"/>
    <n v="80"/>
    <n v="0"/>
    <n v="0"/>
    <n v="180"/>
    <n v="72"/>
    <n v="0"/>
    <n v="0"/>
    <n v="36"/>
    <n v="62"/>
    <n v="72"/>
    <n v="27"/>
    <n v="333.33333333333337"/>
    <n v="108"/>
    <n v="0"/>
    <n v="0"/>
    <n v="0"/>
    <n v="0"/>
    <n v="0"/>
    <n v="2798160"/>
    <n v="932720"/>
    <n v="0"/>
    <n v="839448"/>
    <n v="10456"/>
    <n v="0"/>
    <n v="0"/>
    <n v="2509440"/>
    <n v="836480"/>
    <n v="0"/>
    <n v="752832"/>
    <x v="0"/>
    <n v="-108"/>
    <n v="144"/>
    <n v="216"/>
    <n v="288"/>
  </r>
  <r>
    <n v="1380"/>
    <x v="7"/>
    <s v="PB500042"/>
    <s v="PRO MULTIGRAIN ROLL CHOCOLATE 20 G"/>
    <x v="4"/>
    <n v="11659"/>
    <n v="0"/>
    <n v="240"/>
    <n v="80"/>
    <n v="0"/>
    <n v="0"/>
    <n v="180"/>
    <n v="36"/>
    <n v="0"/>
    <n v="0"/>
    <n v="36"/>
    <n v="62"/>
    <n v="36"/>
    <n v="13.5"/>
    <n v="369.33333333333337"/>
    <n v="144"/>
    <n v="0"/>
    <n v="0"/>
    <n v="0"/>
    <n v="0"/>
    <n v="0"/>
    <n v="2798160"/>
    <n v="932720"/>
    <n v="0"/>
    <n v="419724"/>
    <n v="10456"/>
    <n v="0"/>
    <n v="0"/>
    <n v="2509440"/>
    <n v="836480"/>
    <n v="0"/>
    <n v="376416"/>
    <x v="0"/>
    <n v="-144"/>
    <n v="180"/>
    <n v="252"/>
    <n v="324"/>
  </r>
  <r>
    <n v="1381"/>
    <x v="7"/>
    <s v="PB5ACCAA"/>
    <s v="PRO ARROWROOT COOKIES COKLAT NEW 1"/>
    <x v="3"/>
    <n v="16118"/>
    <n v="4445.3333333333285"/>
    <n v="4908.7976666666727"/>
    <n v="4741.5992222222249"/>
    <n v="6120"/>
    <n v="1176"/>
    <n v="864"/>
    <n v="1419"/>
    <n v="360"/>
    <n v="1176"/>
    <n v="24"/>
    <n v="62"/>
    <n v="8715"/>
    <n v="55.139624364428542"/>
    <n v="5633.102725925939"/>
    <n v="261"/>
    <n v="5633.102725925939"/>
    <n v="5640"/>
    <n v="62.043638910106978"/>
    <n v="90905520"/>
    <n v="71649882.666666582"/>
    <n v="79120000.791333437"/>
    <n v="76425096.263777822"/>
    <n v="5802480"/>
    <n v="140468370"/>
    <n v="14456"/>
    <n v="81531840"/>
    <n v="64261738.666666597"/>
    <n v="70961579.069333419"/>
    <n v="68544558.356444478"/>
    <n v="5204160"/>
    <n v="125984040"/>
    <x v="0"/>
    <n v="5379"/>
    <n v="0"/>
    <n v="0"/>
    <n v="0"/>
  </r>
  <r>
    <n v="1382"/>
    <x v="7"/>
    <s v="PB5ACKAA"/>
    <s v="PRO ARROWROOT COOKIES KEJU NEW 110"/>
    <x v="2"/>
    <n v="16816"/>
    <n v="2885.3333333333326"/>
    <n v="3109.80798333333"/>
    <n v="3174.2693277777757"/>
    <n v="3520"/>
    <n v="744"/>
    <n v="696"/>
    <n v="408"/>
    <n v="264"/>
    <n v="1200"/>
    <n v="24"/>
    <n v="62"/>
    <n v="4672"/>
    <n v="44.155043421637572"/>
    <n v="4733.9645940740666"/>
    <n v="1224"/>
    <n v="4733.9645940740666"/>
    <n v="4728"/>
    <n v="61.943628657891082"/>
    <n v="79506048"/>
    <n v="48519765.333333321"/>
    <n v="52294531.047733277"/>
    <n v="53378513.01591108"/>
    <n v="4439424"/>
    <n v="78564352"/>
    <n v="15082"/>
    <n v="71307696"/>
    <n v="43516597.333333321"/>
    <n v="46902124.004633285"/>
    <n v="47874330.001544416"/>
    <n v="3981648"/>
    <n v="70463104"/>
    <x v="0"/>
    <n v="3504"/>
    <n v="240"/>
    <n v="456"/>
    <n v="744"/>
  </r>
  <r>
    <n v="1383"/>
    <x v="7"/>
    <s v="PB5AKAPB"/>
    <s v="PRO BTI ATI AYAM KAMPUNG 100GR"/>
    <x v="3"/>
    <n v="14588"/>
    <n v="5096.6666666666624"/>
    <n v="5272.682916666673"/>
    <n v="5227.8943055555583"/>
    <n v="6705"/>
    <n v="1512"/>
    <n v="528"/>
    <n v="1752"/>
    <n v="240"/>
    <n v="1344"/>
    <n v="24"/>
    <n v="62"/>
    <n v="9969"/>
    <n v="57.206588832942828"/>
    <n v="5867.9978148148293"/>
    <n v="0"/>
    <n v="5867.9978148148293"/>
    <n v="5856"/>
    <n v="61.931151162703827"/>
    <n v="85427328"/>
    <n v="74350173.333333269"/>
    <n v="76917898.388333425"/>
    <n v="76264522.12944448"/>
    <n v="3501120"/>
    <n v="145427772"/>
    <n v="13084"/>
    <n v="76619904"/>
    <n v="66684786.666666612"/>
    <n v="68987783.281666756"/>
    <n v="68401769.093888924"/>
    <n v="3140160"/>
    <n v="130434396"/>
    <x v="0"/>
    <n v="5856"/>
    <n v="0"/>
    <n v="0"/>
    <n v="0"/>
  </r>
  <r>
    <n v="1384"/>
    <x v="7"/>
    <s v="PB5AKBKP"/>
    <s v="PRO BC AYAM K. BROKOLI KEJU 120GR"/>
    <x v="3"/>
    <n v="13961"/>
    <n v="6470.0000000000146"/>
    <n v="6223.5593499999968"/>
    <n v="6606.5197833333323"/>
    <n v="6172"/>
    <n v="1896"/>
    <n v="1320"/>
    <n v="3720"/>
    <n v="240"/>
    <n v="2376"/>
    <n v="24"/>
    <n v="62"/>
    <n v="11788"/>
    <n v="53.528939834880845"/>
    <n v="7849.0335688888845"/>
    <n v="0"/>
    <n v="7849.0335688888845"/>
    <n v="7848"/>
    <n v="61.995306595956208"/>
    <n v="109565928"/>
    <n v="90327670.000000209"/>
    <n v="86887112.085349962"/>
    <n v="92233622.695116654"/>
    <n v="3350640"/>
    <n v="164572268"/>
    <n v="12521"/>
    <n v="98264808"/>
    <n v="81010870.000000179"/>
    <n v="77925186.621349961"/>
    <n v="82720234.207116649"/>
    <n v="3005040"/>
    <n v="147597548"/>
    <x v="0"/>
    <n v="7848"/>
    <n v="0"/>
    <n v="0"/>
    <n v="0"/>
  </r>
  <r>
    <n v="1385"/>
    <x v="7"/>
    <s v="PB5AKKPP"/>
    <s v="PRO BTI AYAM K.KACANG POLONG 100GR"/>
    <x v="2"/>
    <n v="14588.29"/>
    <n v="4251.3333333333258"/>
    <n v="4248.0360000000001"/>
    <n v="4218.3453333333337"/>
    <n v="5767"/>
    <n v="816"/>
    <n v="384"/>
    <n v="1162"/>
    <n v="192"/>
    <n v="1368"/>
    <n v="24"/>
    <n v="62"/>
    <n v="7745"/>
    <n v="55.080838964029809"/>
    <n v="5028.9496888888898"/>
    <n v="398"/>
    <n v="5028.9496888888898"/>
    <n v="5040"/>
    <n v="62.078587528316781"/>
    <n v="73524981.600000009"/>
    <n v="62019683.553333223"/>
    <n v="61971581.098440006"/>
    <n v="61538445.042813338"/>
    <n v="2800951.68"/>
    <n v="112986306.05000001"/>
    <n v="13082.88"/>
    <n v="65937715.199999996"/>
    <n v="55619683.839999899"/>
    <n v="55576545.223679997"/>
    <n v="55188105.79456"/>
    <n v="2511912.96"/>
    <n v="101326905.59999999"/>
    <x v="0"/>
    <n v="4642"/>
    <n v="0"/>
    <n v="0"/>
    <n v="134"/>
  </r>
  <r>
    <n v="1386"/>
    <x v="7"/>
    <s v="PB5AKTWP"/>
    <s v="PRO BTI AYAM K.TOMAT WORTEL 100 GR"/>
    <x v="3"/>
    <n v="14588.29"/>
    <n v="6064.9999999999927"/>
    <n v="6188.109183333323"/>
    <n v="5991.3697277777737"/>
    <n v="8091"/>
    <n v="1776"/>
    <n v="624"/>
    <n v="2472"/>
    <n v="312"/>
    <n v="1416"/>
    <n v="24"/>
    <n v="62"/>
    <n v="12339"/>
    <n v="61.783868600827901"/>
    <n v="5919.2732874073918"/>
    <n v="0"/>
    <n v="5919.2732874073918"/>
    <n v="5928"/>
    <n v="62.043696414955754"/>
    <n v="86479383.120000005"/>
    <n v="88477978.849999905"/>
    <n v="90273931.318129689"/>
    <n v="87403839.086043224"/>
    <n v="4551546.4800000004"/>
    <n v="180004910.31"/>
    <n v="13082.88"/>
    <n v="77555312.640000001"/>
    <n v="79347667.199999899"/>
    <n v="80958289.872447863"/>
    <n v="78384371.18414928"/>
    <n v="4081858.5599999996"/>
    <n v="161429656.31999999"/>
    <x v="0"/>
    <n v="5928"/>
    <n v="0"/>
    <n v="0"/>
    <n v="0"/>
  </r>
  <r>
    <n v="1387"/>
    <x v="7"/>
    <s v="PB5ATKW1"/>
    <s v="PRO NASI TIM AYAM KAMPUNG W.T."/>
    <x v="2"/>
    <n v="14611"/>
    <n v="2004.9999999999945"/>
    <n v="1978.6747333333331"/>
    <n v="1953.8915777777779"/>
    <n v="2646"/>
    <n v="528"/>
    <n v="312"/>
    <n v="606"/>
    <n v="48"/>
    <n v="504"/>
    <n v="24"/>
    <n v="62"/>
    <n v="3780"/>
    <n v="58.038020783616545"/>
    <n v="2188.7173274074075"/>
    <n v="162"/>
    <n v="2188.7173274074075"/>
    <n v="2184"/>
    <n v="61.92757027880576"/>
    <n v="31910424"/>
    <n v="29295054.999999922"/>
    <n v="28910416.528733328"/>
    <n v="28548309.842911113"/>
    <n v="701328"/>
    <n v="55229580"/>
    <n v="13105"/>
    <n v="28621320"/>
    <n v="26275524.999999929"/>
    <n v="25930532.38033333"/>
    <n v="25605749.126777779"/>
    <n v="629040"/>
    <n v="49536900"/>
    <x v="0"/>
    <n v="2022"/>
    <n v="0"/>
    <n v="0"/>
    <n v="0"/>
  </r>
  <r>
    <n v="1388"/>
    <x v="7"/>
    <s v="PB5BCRKP"/>
    <s v="PROMINA BABY CRUNCHIES KEJU"/>
    <x v="3"/>
    <n v="7974"/>
    <n v="18142.999999999942"/>
    <n v="22214.026233333327"/>
    <n v="19360.675411111104"/>
    <n v="25958"/>
    <n v="3624"/>
    <n v="2712"/>
    <n v="8520"/>
    <n v="144"/>
    <n v="22224"/>
    <n v="24"/>
    <n v="62"/>
    <n v="38102"/>
    <n v="59.040295636793601"/>
    <n v="23980.088749629605"/>
    <n v="16272"/>
    <n v="9592.0354998518433"/>
    <n v="9600"/>
    <n v="39.717581988833615"/>
    <n v="76550400"/>
    <n v="144672281.99999952"/>
    <n v="177134645.18459994"/>
    <n v="154382025.72819993"/>
    <n v="1148256"/>
    <n v="303825348"/>
    <n v="7151"/>
    <n v="68649600"/>
    <n v="129740592.99999958"/>
    <n v="158852501.59456661"/>
    <n v="138448189.8648555"/>
    <n v="1029744"/>
    <n v="272467402"/>
    <x v="0"/>
    <n v="-6672"/>
    <n v="0"/>
    <n v="0"/>
    <n v="0"/>
  </r>
  <r>
    <n v="1389"/>
    <x v="7"/>
    <s v="PB5BMSPB"/>
    <s v="PRO BC BANANA MILK SACHET 20 GR"/>
    <x v="1"/>
    <n v="1505"/>
    <n v="4522.333333333333"/>
    <n v="4809.9798166666696"/>
    <n v="4714.6599388888899"/>
    <n v="6246"/>
    <n v="800"/>
    <n v="560"/>
    <n v="1520"/>
    <n v="0"/>
    <n v="1200"/>
    <n v="80"/>
    <n v="62"/>
    <n v="8566"/>
    <n v="54.506582305183777"/>
    <n v="5987.6103570370433"/>
    <n v="240"/>
    <n v="5987.6103570370433"/>
    <n v="6000"/>
    <n v="62.078836924339519"/>
    <n v="9030000"/>
    <n v="6806111.666666666"/>
    <n v="7239019.6240833374"/>
    <n v="7095563.2080277791"/>
    <n v="0"/>
    <n v="12891830"/>
    <n v="1350"/>
    <n v="8100000"/>
    <n v="6105150"/>
    <n v="6493472.7525000041"/>
    <n v="6364790.9175000014"/>
    <n v="0"/>
    <n v="11564100"/>
    <x v="0"/>
    <n v="5760"/>
    <n v="0"/>
    <n v="0"/>
    <n v="0"/>
  </r>
  <r>
    <n v="1390"/>
    <x v="7"/>
    <s v="PB5CAVAA"/>
    <s v="PRO SWEET CHOCOLATE AVOCADO BOX"/>
    <x v="3"/>
    <n v="14588.29"/>
    <n v="4173.3333333333267"/>
    <n v="4192.8998833333399"/>
    <n v="4347.2999611111127"/>
    <n v="4747"/>
    <n v="840"/>
    <n v="912"/>
    <n v="1152"/>
    <n v="72"/>
    <n v="1512"/>
    <n v="24"/>
    <n v="62"/>
    <n v="6739"/>
    <n v="46.504727487984979"/>
    <n v="6366.3198029629748"/>
    <n v="1200"/>
    <n v="6366.3198029629748"/>
    <n v="6360"/>
    <n v="61.95638808212334"/>
    <n v="92781524.400000006"/>
    <n v="60881796.93333324"/>
    <n v="61167239.439032935"/>
    <n v="63419672.54967764"/>
    <n v="1050356.8800000001"/>
    <n v="98310486.310000002"/>
    <n v="13082.88"/>
    <n v="83207116.799999997"/>
    <n v="54599219.199999906"/>
    <n v="54855206.025664084"/>
    <n v="56875203.715221353"/>
    <n v="941967.35999999999"/>
    <n v="88165528.319999993"/>
    <x v="0"/>
    <n v="5160"/>
    <n v="0"/>
    <n v="120"/>
    <n v="432"/>
  </r>
  <r>
    <n v="1391"/>
    <x v="7"/>
    <s v="PB5DBAPB"/>
    <s v="PRO BTI DAGING &amp; BROKOLI 100GR"/>
    <x v="3"/>
    <n v="14588"/>
    <n v="7468.9999999999909"/>
    <n v="7147.4334333333336"/>
    <n v="7563.4778111111127"/>
    <n v="8325"/>
    <n v="2760"/>
    <n v="792"/>
    <n v="2210"/>
    <n v="72"/>
    <n v="2568"/>
    <n v="24"/>
    <n v="62"/>
    <n v="13295"/>
    <n v="52.733677543691627"/>
    <n v="9411.620909629637"/>
    <n v="1078"/>
    <n v="9411.620909629637"/>
    <n v="9408"/>
    <n v="61.985637917952317"/>
    <n v="137243904"/>
    <n v="108957771.99999987"/>
    <n v="104266758.92546667"/>
    <n v="110336014.30848891"/>
    <n v="1050336"/>
    <n v="193947460"/>
    <n v="13084"/>
    <n v="123094272"/>
    <n v="97724395.999999881"/>
    <n v="93517019.041733339"/>
    <n v="98960543.6805778"/>
    <n v="942048"/>
    <n v="173951780"/>
    <x v="0"/>
    <n v="8330"/>
    <n v="0"/>
    <n v="0"/>
    <n v="574"/>
  </r>
  <r>
    <n v="1392"/>
    <x v="7"/>
    <s v="PB5HMABL"/>
    <s v="PRO HOMEMADE AYAM BROKOLI LABU"/>
    <x v="2"/>
    <n v="18716"/>
    <n v="1627.6666666666622"/>
    <n v="1625.0346500000069"/>
    <n v="1614.3448833333357"/>
    <n v="1447"/>
    <n v="288"/>
    <n v="600"/>
    <n v="168"/>
    <n v="120"/>
    <n v="1008"/>
    <n v="24"/>
    <n v="62"/>
    <n v="1903"/>
    <n v="35.364190508114525"/>
    <n v="2938.3474088889016"/>
    <n v="1320"/>
    <n v="2938.3474088889016"/>
    <n v="2928"/>
    <n v="61.80771006872704"/>
    <n v="54800448"/>
    <n v="30463409.33333325"/>
    <n v="30414148.509400129"/>
    <n v="30214078.836466711"/>
    <n v="2245920"/>
    <n v="35616548"/>
    <n v="16786"/>
    <n v="49149408"/>
    <n v="27322012.666666593"/>
    <n v="27277831.634900115"/>
    <n v="27098393.211633373"/>
    <n v="2014320"/>
    <n v="31943758"/>
    <x v="0"/>
    <n v="1608"/>
    <n v="288"/>
    <n v="552"/>
    <n v="720"/>
  </r>
  <r>
    <n v="1393"/>
    <x v="7"/>
    <s v="PB5HSAKW"/>
    <s v="PRO HOMEMADE SALMON KENTANG WORTEL"/>
    <x v="2"/>
    <n v="18716"/>
    <n v="1912.6666666666749"/>
    <n v="1933.59623333333"/>
    <n v="1911.5320777777767"/>
    <n v="2245"/>
    <n v="480"/>
    <n v="624"/>
    <n v="360"/>
    <n v="192"/>
    <n v="528"/>
    <n v="24"/>
    <n v="62"/>
    <n v="3085"/>
    <n v="48.41666068591045"/>
    <n v="2607.0958607407356"/>
    <n v="600"/>
    <n v="2607.0958607407356"/>
    <n v="2616"/>
    <n v="62.139743497314726"/>
    <n v="48961056"/>
    <n v="35797469.333333485"/>
    <n v="36189187.103066608"/>
    <n v="35776234.367688872"/>
    <n v="3593472"/>
    <n v="57738860"/>
    <n v="16786"/>
    <n v="43912176"/>
    <n v="32106022.666666806"/>
    <n v="32457346.372733276"/>
    <n v="32086977.457577761"/>
    <n v="3222912"/>
    <n v="51784810"/>
    <x v="0"/>
    <n v="2016"/>
    <n v="0"/>
    <n v="0"/>
    <n v="48"/>
  </r>
  <r>
    <n v="1394"/>
    <x v="7"/>
    <s v="PB5MBMBA"/>
    <s v="PRO BC MILKY BERAS MERAH BOX 120 G"/>
    <x v="3"/>
    <n v="12054"/>
    <n v="7297.9999999999991"/>
    <n v="6856.8202833333435"/>
    <n v="7062.6067611111148"/>
    <n v="7005"/>
    <n v="240"/>
    <n v="409"/>
    <n v="6480"/>
    <n v="168"/>
    <n v="5280"/>
    <n v="24"/>
    <n v="62"/>
    <n v="13725"/>
    <n v="58.300003656896507"/>
    <n v="7559.8742562963162"/>
    <n v="0"/>
    <n v="7559.8742562963162"/>
    <n v="7560"/>
    <n v="62.000534124472473"/>
    <n v="91128240"/>
    <n v="87970091.999999985"/>
    <n v="82652111.695300117"/>
    <n v="85132661.898433372"/>
    <n v="2025072"/>
    <n v="165441150"/>
    <n v="10811"/>
    <n v="81731160"/>
    <n v="78898677.999999985"/>
    <n v="74129084.08311677"/>
    <n v="76353841.694372267"/>
    <n v="1816248"/>
    <n v="148380975"/>
    <x v="0"/>
    <n v="7560"/>
    <n v="0"/>
    <n v="0"/>
    <n v="0"/>
  </r>
  <r>
    <n v="1395"/>
    <x v="7"/>
    <s v="PB5MBMPB"/>
    <s v="PRO BC MILKY BERAS MERAH 20 GR"/>
    <x v="2"/>
    <n v="1505"/>
    <n v="5678.333333333343"/>
    <n v="6019.4675000000007"/>
    <n v="6290.4891666666672"/>
    <n v="7448"/>
    <n v="160"/>
    <n v="960"/>
    <n v="3040"/>
    <n v="0"/>
    <n v="2800"/>
    <n v="80"/>
    <n v="62"/>
    <n v="10648"/>
    <n v="50.781424391081401"/>
    <n v="8371.8117777777807"/>
    <n v="720"/>
    <n v="8371.8117777777807"/>
    <n v="8400"/>
    <n v="62.134432576586832"/>
    <n v="12642000"/>
    <n v="8545891.6666666809"/>
    <n v="9059298.5875000004"/>
    <n v="9467186.1958333347"/>
    <n v="0"/>
    <n v="16025240"/>
    <n v="1350"/>
    <n v="11340000"/>
    <n v="7665750.000000013"/>
    <n v="8126281.1250000009"/>
    <n v="8492160.375"/>
    <n v="0"/>
    <n v="14374800"/>
    <x v="0"/>
    <n v="7680"/>
    <n v="0"/>
    <n v="0"/>
    <n v="0"/>
  </r>
  <r>
    <n v="1396"/>
    <x v="7"/>
    <s v="PB5MBRKA"/>
    <s v="SUN MARIE ROLL KECIL NEW"/>
    <x v="3"/>
    <n v="7062"/>
    <n v="8636.9999999999982"/>
    <n v="9197.8340500000104"/>
    <n v="8839.6113500000029"/>
    <n v="16154"/>
    <n v="1720"/>
    <n v="920"/>
    <n v="440"/>
    <n v="680"/>
    <n v="4640"/>
    <n v="40"/>
    <n v="62"/>
    <n v="18314"/>
    <n v="62.154316320705647"/>
    <n v="8472.3641733333498"/>
    <n v="4440"/>
    <n v="8472.3641733333498"/>
    <n v="8480"/>
    <n v="62.025914578246642"/>
    <n v="59885760"/>
    <n v="60994493.999999985"/>
    <n v="64955104.061100073"/>
    <n v="62425335.353700019"/>
    <n v="4802160"/>
    <n v="129333468"/>
    <n v="6334"/>
    <n v="53712320"/>
    <n v="54706757.999999985"/>
    <n v="58259080.872700065"/>
    <n v="55990098.290900022"/>
    <n v="4307120"/>
    <n v="116000876"/>
    <x v="0"/>
    <n v="4040"/>
    <n v="1640"/>
    <n v="2800"/>
    <n v="3920"/>
  </r>
  <r>
    <n v="1397"/>
    <x v="7"/>
    <s v="PB5PBRAA"/>
    <s v="PRO MARIE ROLL SPECIAL BOX"/>
    <x v="3"/>
    <n v="13995"/>
    <n v="13258.666666666659"/>
    <n v="12931.368016666673"/>
    <n v="13212.78933888889"/>
    <n v="11041"/>
    <n v="2040"/>
    <n v="4920"/>
    <n v="1056"/>
    <n v="1488"/>
    <n v="6264"/>
    <n v="24"/>
    <n v="62"/>
    <n v="14137"/>
    <n v="32.098445613730256"/>
    <n v="24612.799317037046"/>
    <n v="8640"/>
    <n v="7383.8397951111137"/>
    <n v="7392"/>
    <n v="22.899703593203878"/>
    <n v="103451040"/>
    <n v="185555039.99999988"/>
    <n v="180974495.39325008"/>
    <n v="184912986.79775003"/>
    <n v="20824560"/>
    <n v="197847315"/>
    <n v="12551"/>
    <n v="92776992"/>
    <n v="166409525.33333322"/>
    <n v="162301599.9771834"/>
    <n v="165833718.99239445"/>
    <n v="18675888"/>
    <n v="177433487"/>
    <x v="0"/>
    <n v="-1248"/>
    <n v="912"/>
    <n v="2448"/>
    <n v="4008"/>
  </r>
  <r>
    <n v="1398"/>
    <x v="7"/>
    <s v="PB5PPBBA"/>
    <s v="PROMINA PUFFS BLUEBERRY 15 GR"/>
    <x v="3"/>
    <n v="5771"/>
    <n v="33859.999999999862"/>
    <n v="36336.629250000005"/>
    <n v="34259.209750000002"/>
    <n v="50802"/>
    <n v="5496"/>
    <n v="3720"/>
    <n v="22056"/>
    <n v="840"/>
    <n v="51648"/>
    <n v="24"/>
    <n v="62"/>
    <n v="78354"/>
    <n v="68.612791046646947"/>
    <n v="27944.996066666674"/>
    <n v="32472"/>
    <n v="8383.4988200000025"/>
    <n v="8376"/>
    <n v="44.863881383019923"/>
    <n v="48337896"/>
    <n v="195406059.9999992"/>
    <n v="209698687.40175003"/>
    <n v="197709899.46725002"/>
    <n v="4847640"/>
    <n v="452180934"/>
    <n v="5177"/>
    <n v="43362552"/>
    <n v="175293219.99999928"/>
    <n v="188114729.62725002"/>
    <n v="177359928.87575001"/>
    <n v="4348680"/>
    <n v="405638658"/>
    <x v="0"/>
    <n v="-24096"/>
    <n v="0"/>
    <n v="0"/>
    <n v="0"/>
  </r>
  <r>
    <n v="1399"/>
    <x v="7"/>
    <s v="PB5PPMCA"/>
    <s v="PROMINA PASTA MAC AND CHEESE"/>
    <x v="3"/>
    <n v="8002"/>
    <n v="6633.00000000004"/>
    <n v="6811.500800000008"/>
    <n v="6923.8336000000045"/>
    <n v="8184"/>
    <n v="1296"/>
    <n v="864"/>
    <n v="2712"/>
    <n v="240"/>
    <n v="1920"/>
    <n v="24"/>
    <n v="62"/>
    <n v="12192"/>
    <n v="52.826226210866729"/>
    <n v="8688.7569066666838"/>
    <n v="0"/>
    <n v="2606.6270720000052"/>
    <n v="2616"/>
    <n v="35.687595958400792"/>
    <n v="20933232"/>
    <n v="53077266.00000032"/>
    <n v="54505629.401600063"/>
    <n v="55404516.467200033"/>
    <n v="1920480"/>
    <n v="97560384"/>
    <n v="7177"/>
    <n v="18775032"/>
    <n v="47605041.000000291"/>
    <n v="48886141.241600059"/>
    <n v="49692353.747200035"/>
    <n v="1722480"/>
    <n v="87501984"/>
    <x v="0"/>
    <n v="2616"/>
    <n v="0"/>
    <n v="0"/>
    <n v="0"/>
  </r>
  <r>
    <n v="1400"/>
    <x v="7"/>
    <s v="PB5PPPSA"/>
    <s v="PROMINA PUFFS PISANG 15 GR"/>
    <x v="3"/>
    <n v="5771"/>
    <n v="29317.000000000102"/>
    <n v="30761.526383333268"/>
    <n v="29700.175461111092"/>
    <n v="18716"/>
    <n v="6552"/>
    <n v="4488"/>
    <n v="16104"/>
    <n v="1512"/>
    <n v="24648"/>
    <n v="24"/>
    <n v="62"/>
    <n v="41372"/>
    <n v="41.789652105764631"/>
    <n v="49257.889002962867"/>
    <n v="11520"/>
    <n v="14777.366700888859"/>
    <n v="14784"/>
    <n v="27.178095616200263"/>
    <n v="85318464"/>
    <n v="169188407.0000006"/>
    <n v="177524768.75821629"/>
    <n v="171399712.58607212"/>
    <n v="8725752"/>
    <n v="238757812"/>
    <n v="5177"/>
    <n v="76536768"/>
    <n v="151774109.00000054"/>
    <n v="159252422.08651632"/>
    <n v="153757808.36217213"/>
    <n v="7827624"/>
    <n v="214182844"/>
    <x v="0"/>
    <n v="3264"/>
    <n v="0"/>
    <n v="0"/>
    <n v="0"/>
  </r>
  <r>
    <n v="1401"/>
    <x v="7"/>
    <s v="PB5PPSAB"/>
    <s v="PROMINA PUFFS STRAW APEL 15 GR"/>
    <x v="3"/>
    <n v="5771"/>
    <n v="27151.333333333096"/>
    <n v="27584.759683333337"/>
    <n v="26982.253227777775"/>
    <n v="33992"/>
    <n v="4368"/>
    <n v="4008"/>
    <n v="12456"/>
    <n v="768"/>
    <n v="40320"/>
    <n v="24"/>
    <n v="62"/>
    <n v="50816"/>
    <n v="56.499358564709247"/>
    <n v="31764.083020740742"/>
    <n v="31104"/>
    <n v="9529.2249062222218"/>
    <n v="9528"/>
    <n v="37.276990954355441"/>
    <n v="54986088"/>
    <n v="156690344.66666529"/>
    <n v="159191648.13251668"/>
    <n v="155714583.37750554"/>
    <n v="4432128"/>
    <n v="293259136"/>
    <n v="5177"/>
    <n v="49326456"/>
    <n v="140562452.66666543"/>
    <n v="142806300.88061669"/>
    <n v="139687124.96020555"/>
    <n v="3975936"/>
    <n v="263074432"/>
    <x v="0"/>
    <n v="-21576"/>
    <n v="0"/>
    <n v="0"/>
    <n v="0"/>
  </r>
  <r>
    <n v="1402"/>
    <x v="7"/>
    <s v="PB5PPSTA"/>
    <s v="PRO SILKY PUDING STRAWBERRY 100 GR"/>
    <x v="3"/>
    <n v="13102"/>
    <n v="6661.3333333333503"/>
    <n v="7425.0460833333373"/>
    <n v="6867.0153611111127"/>
    <n v="9883"/>
    <n v="1080"/>
    <n v="1224"/>
    <n v="3024"/>
    <n v="240"/>
    <n v="1560"/>
    <n v="24"/>
    <n v="62"/>
    <n v="13987"/>
    <n v="61.105149462211955"/>
    <n v="7389.8778296296368"/>
    <n v="0"/>
    <n v="7389.8778296296368"/>
    <n v="7392"/>
    <n v="62.009271147327176"/>
    <n v="96849984"/>
    <n v="87276789.333333552"/>
    <n v="97282953.783833385"/>
    <n v="89971635.261277795"/>
    <n v="3144480"/>
    <n v="183257674"/>
    <n v="11750"/>
    <n v="86856000"/>
    <n v="78270666.666666865"/>
    <n v="87244291.479166716"/>
    <n v="80687430.493055567"/>
    <n v="2820000"/>
    <n v="164347250"/>
    <x v="0"/>
    <n v="7392"/>
    <n v="0"/>
    <n v="0"/>
    <n v="0"/>
  </r>
  <r>
    <n v="1403"/>
    <x v="7"/>
    <s v="PB5PSBAA"/>
    <s v="PRO BC BANANA MILK BOX 120 GR"/>
    <x v="3"/>
    <n v="12054"/>
    <n v="5436.3333333333203"/>
    <n v="4689.5634500000006"/>
    <n v="5105.5211499999996"/>
    <n v="4253"/>
    <n v="336"/>
    <n v="144"/>
    <n v="0"/>
    <n v="144"/>
    <n v="4272"/>
    <n v="24"/>
    <n v="62"/>
    <n v="4589"/>
    <n v="26.964925999767921"/>
    <n v="10507.973826666668"/>
    <n v="4272"/>
    <n v="10507.973826666668"/>
    <n v="10512"/>
    <n v="62.023657761167037"/>
    <n v="126711648"/>
    <n v="65529561.999999844"/>
    <n v="56527997.82630001"/>
    <n v="61541951.942099996"/>
    <n v="1735776"/>
    <n v="55315806"/>
    <n v="10811"/>
    <n v="113645232"/>
    <n v="58772199.666666523"/>
    <n v="50698870.457950003"/>
    <n v="55195789.152649999"/>
    <n v="1556784"/>
    <n v="49611679"/>
    <x v="0"/>
    <n v="6240"/>
    <n v="0"/>
    <n v="0"/>
    <n v="0"/>
  </r>
  <r>
    <n v="1404"/>
    <x v="7"/>
    <s v="PB5PSMAS"/>
    <s v="PROMINA SUP MI AYAM &amp; SAYUR"/>
    <x v="3"/>
    <n v="9447"/>
    <n v="6397.3333333333267"/>
    <n v="6804.3101500000084"/>
    <n v="6758.7700500000019"/>
    <n v="1418"/>
    <n v="1320"/>
    <n v="1200"/>
    <n v="24"/>
    <n v="216"/>
    <n v="2040"/>
    <n v="24"/>
    <n v="62"/>
    <n v="2762"/>
    <n v="12.259627030808657"/>
    <n v="17794.434920000014"/>
    <n v="3000"/>
    <n v="17794.434920000014"/>
    <n v="17784"/>
    <n v="61.953682756228652"/>
    <n v="168005448"/>
    <n v="60435607.99999994"/>
    <n v="64280317.987050079"/>
    <n v="63850100.662350021"/>
    <n v="2040552"/>
    <n v="26092614"/>
    <n v="8474"/>
    <n v="150701616"/>
    <n v="54211002.666666612"/>
    <n v="57659724.211100072"/>
    <n v="57273817.403700016"/>
    <n v="1830384"/>
    <n v="23405188"/>
    <x v="0"/>
    <n v="14784"/>
    <n v="0"/>
    <n v="0"/>
    <n v="0"/>
  </r>
  <r>
    <n v="1405"/>
    <x v="7"/>
    <s v="PB5PSMDS"/>
    <s v="PROMINA SUP MI DAGING &amp; SAYUR"/>
    <x v="3"/>
    <n v="9447"/>
    <n v="7918.0000000000091"/>
    <n v="7900.9289999999992"/>
    <n v="8089.976333333334"/>
    <n v="4398"/>
    <n v="1824"/>
    <n v="1320"/>
    <n v="950"/>
    <n v="264"/>
    <n v="2400"/>
    <n v="24"/>
    <n v="62"/>
    <n v="7172"/>
    <n v="26.595875084760237"/>
    <n v="17184.213422222227"/>
    <n v="2506"/>
    <n v="17184.213422222227"/>
    <n v="17184"/>
    <n v="61.999208567936051"/>
    <n v="162337248"/>
    <n v="74801346.000000089"/>
    <n v="74640076.262999997"/>
    <n v="76426006.421000004"/>
    <n v="2494008"/>
    <n v="67753884"/>
    <n v="8474"/>
    <n v="145617216"/>
    <n v="67097132.000000075"/>
    <n v="66952472.345999993"/>
    <n v="68554459.448666677"/>
    <n v="2237136"/>
    <n v="60775528"/>
    <x v="0"/>
    <n v="14678"/>
    <n v="0"/>
    <n v="0"/>
    <n v="0"/>
  </r>
  <r>
    <n v="1406"/>
    <x v="7"/>
    <s v="PB5RUSN1"/>
    <s v="PRO RUSK SUSU NEW 130 GR"/>
    <x v="2"/>
    <n v="14033"/>
    <n v="2813.3333333333021"/>
    <n v="2627.4252499999998"/>
    <n v="2905.8084166666667"/>
    <n v="2072"/>
    <n v="1104"/>
    <n v="720"/>
    <n v="576"/>
    <n v="144"/>
    <n v="2016"/>
    <n v="48"/>
    <n v="62"/>
    <n v="3752"/>
    <n v="38.736208262869823"/>
    <n v="4736.762644444445"/>
    <n v="2016"/>
    <n v="4736.762644444445"/>
    <n v="4752"/>
    <n v="62.157312734055274"/>
    <n v="66684816"/>
    <n v="39479506.666666232"/>
    <n v="36870658.533249997"/>
    <n v="40777209.511083335"/>
    <n v="2020752"/>
    <n v="52651816"/>
    <n v="12586"/>
    <n v="59808672"/>
    <n v="35408613.333332941"/>
    <n v="33068774.196499996"/>
    <n v="36572504.73216667"/>
    <n v="1812384"/>
    <n v="47222672"/>
    <x v="0"/>
    <n v="2736"/>
    <n v="624"/>
    <n v="1104"/>
    <n v="1536"/>
  </r>
  <r>
    <n v="1407"/>
    <x v="7"/>
    <s v="PB5SAESB"/>
    <s v="SUN BC SUP AYAM EKONOMIS"/>
    <x v="2"/>
    <n v="6147"/>
    <n v="2187.666666666677"/>
    <n v="2345.6705666666667"/>
    <n v="2227.2235222222225"/>
    <n v="3481"/>
    <n v="408"/>
    <n v="192"/>
    <n v="816"/>
    <n v="0"/>
    <n v="360"/>
    <n v="24"/>
    <n v="62"/>
    <n v="4705"/>
    <n v="63.374869469395215"/>
    <n v="2243.5991792592604"/>
    <n v="0"/>
    <n v="2243.5991792592604"/>
    <n v="2232"/>
    <n v="61.84376270531186"/>
    <n v="13720104"/>
    <n v="13447587.000000063"/>
    <n v="14418836.973300001"/>
    <n v="13690742.991100002"/>
    <n v="0"/>
    <n v="28921635"/>
    <n v="5513"/>
    <n v="12305016"/>
    <n v="12060606.33333339"/>
    <n v="12931681.834033333"/>
    <n v="12278683.278011113"/>
    <n v="0"/>
    <n v="25938665"/>
    <x v="0"/>
    <n v="2232"/>
    <n v="0"/>
    <n v="0"/>
    <n v="0"/>
  </r>
  <r>
    <n v="1408"/>
    <x v="7"/>
    <s v="PB5SAKBS"/>
    <s v="SUN BC SUSU AYAM KAMPUNG BAYAM"/>
    <x v="2"/>
    <n v="1315"/>
    <n v="3195.6666666667038"/>
    <n v="4049.5969833333302"/>
    <n v="3848.8656611111101"/>
    <n v="5987"/>
    <n v="400"/>
    <n v="640"/>
    <n v="1680"/>
    <n v="0"/>
    <n v="720"/>
    <n v="80"/>
    <n v="62"/>
    <n v="8067"/>
    <n v="62.878266302008406"/>
    <n v="3936.9193496296248"/>
    <n v="0"/>
    <n v="3936.9193496296248"/>
    <n v="3920"/>
    <n v="61.868122056319777"/>
    <n v="5154800"/>
    <n v="4202301.6666667154"/>
    <n v="5325220.033083329"/>
    <n v="5061258.3443611097"/>
    <n v="0"/>
    <n v="10608105"/>
    <n v="1179"/>
    <n v="4621680"/>
    <n v="3767691.0000000438"/>
    <n v="4774474.843349996"/>
    <n v="4537812.6144499984"/>
    <n v="0"/>
    <n v="9510993"/>
    <x v="0"/>
    <n v="3920"/>
    <n v="0"/>
    <n v="0"/>
    <n v="0"/>
  </r>
  <r>
    <n v="1409"/>
    <x v="7"/>
    <s v="PB5SBBW1"/>
    <s v="SUN BC SUSU BROKOLI WORTEL 120 GR"/>
    <x v="2"/>
    <n v="8139"/>
    <n v="3152.6666666666606"/>
    <n v="3133.6490166666672"/>
    <n v="3171.2163388888889"/>
    <n v="3421"/>
    <n v="1056"/>
    <n v="384"/>
    <n v="1512"/>
    <n v="24"/>
    <n v="1176"/>
    <n v="24"/>
    <n v="62"/>
    <n v="5989"/>
    <n v="56.656494164933463"/>
    <n v="3674.496117037037"/>
    <n v="24"/>
    <n v="3674.496117037037"/>
    <n v="3672"/>
    <n v="61.976386501862763"/>
    <n v="29886408"/>
    <n v="25659553.999999952"/>
    <n v="25504769.346650004"/>
    <n v="25810529.782216668"/>
    <n v="195336"/>
    <n v="48744471"/>
    <n v="7300"/>
    <n v="26805600"/>
    <n v="23014466.666666623"/>
    <n v="22875637.821666669"/>
    <n v="23149879.27388889"/>
    <n v="175200"/>
    <n v="43719700"/>
    <x v="0"/>
    <n v="3648"/>
    <n v="0"/>
    <n v="0"/>
    <n v="0"/>
  </r>
  <r>
    <n v="1410"/>
    <x v="7"/>
    <s v="PB5SBCKH"/>
    <s v="SUN BC KACANG HIJAU EKONOMIS"/>
    <x v="2"/>
    <n v="6147"/>
    <n v="3463.6666666666938"/>
    <n v="3785.6075833333398"/>
    <n v="3519.8691944444472"/>
    <n v="5492"/>
    <n v="816"/>
    <n v="168"/>
    <n v="1224"/>
    <n v="0"/>
    <n v="816"/>
    <n v="24"/>
    <n v="62"/>
    <n v="7532"/>
    <n v="64.195567368424335"/>
    <n v="3528.0039185185306"/>
    <n v="0"/>
    <n v="3528.0039185185306"/>
    <n v="3528"/>
    <n v="61.999966602294165"/>
    <n v="21686616"/>
    <n v="21291159.000000168"/>
    <n v="23270129.814750038"/>
    <n v="21636635.938250016"/>
    <n v="0"/>
    <n v="46299204"/>
    <n v="5513"/>
    <n v="19449864"/>
    <n v="19095194.333333481"/>
    <n v="20870054.606916703"/>
    <n v="19405038.868972238"/>
    <n v="0"/>
    <n v="41523916"/>
    <x v="0"/>
    <n v="3528"/>
    <n v="0"/>
    <n v="0"/>
    <n v="0"/>
  </r>
  <r>
    <n v="1411"/>
    <x v="7"/>
    <s v="PB5SBCPE"/>
    <s v="SUN BC PISANG EKONOMIS"/>
    <x v="2"/>
    <n v="6147"/>
    <n v="4646.3333333333394"/>
    <n v="5203.673216666667"/>
    <n v="4858.5577388888896"/>
    <n v="7149"/>
    <n v="1128"/>
    <n v="120"/>
    <n v="1272"/>
    <n v="0"/>
    <n v="1872"/>
    <n v="24"/>
    <n v="62"/>
    <n v="9549"/>
    <n v="58.961942081501995"/>
    <n v="5695.6925437037062"/>
    <n v="720"/>
    <n v="5695.6925437037062"/>
    <n v="5688"/>
    <n v="61.952501066465892"/>
    <n v="34964136"/>
    <n v="28561011.000000037"/>
    <n v="31986979.262850001"/>
    <n v="29865554.420950003"/>
    <n v="0"/>
    <n v="58697703"/>
    <n v="5513"/>
    <n v="31357944"/>
    <n v="25615235.666666701"/>
    <n v="28687850.443483334"/>
    <n v="26785228.81449445"/>
    <n v="0"/>
    <n v="52643637"/>
    <x v="0"/>
    <n v="4968"/>
    <n v="0"/>
    <n v="312"/>
    <n v="744"/>
  </r>
  <r>
    <n v="1412"/>
    <x v="7"/>
    <s v="PB5SBKB1"/>
    <s v="SUN BC AYAM KAMPUNG BAYAM 120 GR"/>
    <x v="2"/>
    <n v="9126"/>
    <n v="3967.0000000000041"/>
    <n v="3933.6846999999998"/>
    <n v="4053.8948999999998"/>
    <n v="5603"/>
    <n v="1056"/>
    <n v="336"/>
    <n v="2762"/>
    <n v="120"/>
    <n v="1080"/>
    <n v="24"/>
    <n v="62"/>
    <n v="9421"/>
    <n v="69.718136994622142"/>
    <n v="2770.73416"/>
    <n v="0"/>
    <n v="2770.73416"/>
    <n v="2760"/>
    <n v="61.920564097505348"/>
    <n v="25187760"/>
    <n v="36202842.000000037"/>
    <n v="35898806.5722"/>
    <n v="36995844.8574"/>
    <n v="1095120"/>
    <n v="85976046"/>
    <n v="8185"/>
    <n v="22590600"/>
    <n v="32469895.000000034"/>
    <n v="32197209.269499999"/>
    <n v="33181129.756499998"/>
    <n v="982200"/>
    <n v="77110885"/>
    <x v="0"/>
    <n v="2760"/>
    <n v="0"/>
    <n v="0"/>
    <n v="0"/>
  </r>
  <r>
    <n v="1413"/>
    <x v="7"/>
    <s v="PB5SBME1"/>
    <s v="SUN BERAS MERAH EKONOMIS 120 GR"/>
    <x v="2"/>
    <n v="6147"/>
    <n v="6262.6666666666697"/>
    <n v="7735.5901833333319"/>
    <n v="6726.8633944444437"/>
    <n v="9981"/>
    <n v="1488"/>
    <n v="384"/>
    <n v="2880"/>
    <n v="0"/>
    <n v="2136"/>
    <n v="24"/>
    <n v="62"/>
    <n v="14349"/>
    <n v="63.99267753162863"/>
    <n v="7288.77453185185"/>
    <n v="0"/>
    <n v="7288.77453185185"/>
    <n v="7296"/>
    <n v="62.032223642986949"/>
    <n v="44848512"/>
    <n v="38496612.000000022"/>
    <n v="47550672.856949992"/>
    <n v="41350029.285649993"/>
    <n v="0"/>
    <n v="88203303"/>
    <n v="5513"/>
    <n v="40222848"/>
    <n v="34526081.333333351"/>
    <n v="42646308.680716656"/>
    <n v="37085197.893572219"/>
    <n v="0"/>
    <n v="79106037"/>
    <x v="0"/>
    <n v="7296"/>
    <n v="0"/>
    <n v="0"/>
    <n v="0"/>
  </r>
  <r>
    <n v="1414"/>
    <x v="7"/>
    <s v="PB5SBMSS"/>
    <s v="SUN BC SUSU BERAS MERAH SACHET"/>
    <x v="2"/>
    <n v="1315"/>
    <n v="4456.6666666666333"/>
    <n v="4801.4119333333329"/>
    <n v="4616.8039777777776"/>
    <n v="6165"/>
    <n v="720"/>
    <n v="960"/>
    <n v="1120"/>
    <n v="80"/>
    <n v="1440"/>
    <n v="80"/>
    <n v="62"/>
    <n v="8005"/>
    <n v="52.01650344175804"/>
    <n v="6257.8068207407414"/>
    <n v="1200"/>
    <n v="6257.8068207407414"/>
    <n v="6240"/>
    <n v="61.884291248925983"/>
    <n v="8205600"/>
    <n v="5860516.6666666232"/>
    <n v="6313856.6923333323"/>
    <n v="6071097.2307777777"/>
    <n v="105200"/>
    <n v="10526575"/>
    <n v="1179"/>
    <n v="7356960"/>
    <n v="5254409.9999999609"/>
    <n v="5660864.6693999991"/>
    <n v="5443211.8898"/>
    <n v="94320"/>
    <n v="9437895"/>
    <x v="0"/>
    <n v="5040"/>
    <n v="0"/>
    <n v="0"/>
    <n v="320"/>
  </r>
  <r>
    <n v="1415"/>
    <x v="7"/>
    <s v="PB5SHKAA"/>
    <s v="SUN BC SUSU KACANG HIJAU KOTAK"/>
    <x v="2"/>
    <n v="8139"/>
    <n v="4472.3333333333348"/>
    <n v="5155.6270166666663"/>
    <n v="4603.8756722222224"/>
    <n v="7697"/>
    <n v="984"/>
    <n v="504"/>
    <n v="2354"/>
    <n v="144"/>
    <n v="1416"/>
    <n v="24"/>
    <n v="62"/>
    <n v="11035"/>
    <n v="71.906807127180102"/>
    <n v="3491.3034059259262"/>
    <n v="0"/>
    <n v="3491.3034059259262"/>
    <n v="3480"/>
    <n v="61.926344193040713"/>
    <n v="28323720"/>
    <n v="36400321.000000015"/>
    <n v="41961648.288649999"/>
    <n v="37470944.096216671"/>
    <n v="1172016"/>
    <n v="89813865"/>
    <n v="7300"/>
    <n v="25404000"/>
    <n v="32648033.333333343"/>
    <n v="37636077.221666664"/>
    <n v="33608292.407222226"/>
    <n v="1051200"/>
    <n v="80555500"/>
    <x v="0"/>
    <n v="3480"/>
    <n v="0"/>
    <n v="0"/>
    <n v="0"/>
  </r>
  <r>
    <n v="1416"/>
    <x v="7"/>
    <s v="PB5SIHCA"/>
    <s v="SUSU SUN IBU HAMIL COKLAT NEW 150"/>
    <x v="1"/>
    <n v="18909.91"/>
    <n v="127.66666666666667"/>
    <n v="57"/>
    <n v="74.666666666666671"/>
    <n v="384"/>
    <n v="0"/>
    <n v="0"/>
    <n v="0"/>
    <n v="0"/>
    <n v="24"/>
    <n v="24"/>
    <n v="62"/>
    <n v="384"/>
    <n v="154.28571428571428"/>
    <n v="0"/>
    <n v="24"/>
    <n v="0"/>
    <n v="0"/>
    <n v="131.38392857142856"/>
    <n v="0"/>
    <n v="2414165.1766666668"/>
    <n v="1077864.8699999999"/>
    <n v="1411939.9466666668"/>
    <n v="0"/>
    <n v="7261405.4399999995"/>
    <n v="16959.46"/>
    <n v="0"/>
    <n v="2165157.7266666666"/>
    <n v="966689.22"/>
    <n v="1266306.3466666667"/>
    <n v="0"/>
    <n v="6512432.6399999997"/>
    <x v="0"/>
    <n v="-24"/>
    <n v="0"/>
    <n v="0"/>
    <n v="0"/>
  </r>
  <r>
    <n v="1417"/>
    <x v="7"/>
    <s v="PB5SKHBA"/>
    <s v="PRO BC SMOOTH KACANG HIJAU BOX 120"/>
    <x v="3"/>
    <n v="12054"/>
    <n v="4454.6666666666679"/>
    <n v="4551.9362166666642"/>
    <n v="4501.3120722222211"/>
    <n v="5146"/>
    <n v="1176"/>
    <n v="648"/>
    <n v="1272"/>
    <n v="96"/>
    <n v="1800"/>
    <n v="24"/>
    <n v="62"/>
    <n v="7594"/>
    <n v="50.611909670934935"/>
    <n v="6164.6478325925891"/>
    <n v="1080"/>
    <n v="6164.6478325925891"/>
    <n v="6168"/>
    <n v="62.022341268636524"/>
    <n v="74349072"/>
    <n v="53696552.000000015"/>
    <n v="54869039.155699968"/>
    <n v="54258815.718566656"/>
    <n v="1157184"/>
    <n v="91538076"/>
    <n v="10811"/>
    <n v="66682248"/>
    <n v="48159401.333333343"/>
    <n v="49210982.438383304"/>
    <n v="48663684.812794432"/>
    <n v="1037856"/>
    <n v="82098734"/>
    <x v="0"/>
    <n v="5088"/>
    <n v="0"/>
    <n v="168"/>
    <n v="672"/>
  </r>
  <r>
    <n v="1418"/>
    <x v="7"/>
    <s v="PB5SKHPB"/>
    <s v="PRO BC SMOOTH KACANG HIJAU 20 GR"/>
    <x v="2"/>
    <n v="1505"/>
    <n v="4450.0000000000427"/>
    <n v="4271.7436333333335"/>
    <n v="4490.2478777777778"/>
    <n v="5899"/>
    <n v="880"/>
    <n v="320"/>
    <n v="2160"/>
    <n v="0"/>
    <n v="720"/>
    <n v="80"/>
    <n v="62"/>
    <n v="8939"/>
    <n v="59.722760813979214"/>
    <n v="4612.589247407408"/>
    <n v="0"/>
    <n v="4612.589247407408"/>
    <n v="4640"/>
    <n v="62.183135229983058"/>
    <n v="6983200"/>
    <n v="6697250.0000000643"/>
    <n v="6428974.1681666672"/>
    <n v="6757823.0560555561"/>
    <n v="0"/>
    <n v="13453195"/>
    <n v="1350"/>
    <n v="6264000"/>
    <n v="6007500.0000000577"/>
    <n v="5766853.9050000003"/>
    <n v="6061834.6349999998"/>
    <n v="0"/>
    <n v="12067650"/>
    <x v="0"/>
    <n v="4640"/>
    <n v="0"/>
    <n v="0"/>
    <n v="0"/>
  </r>
  <r>
    <n v="1419"/>
    <x v="7"/>
    <s v="PB5SKHSS"/>
    <s v="SUN BC SUSU KACANG HIJAU SACHET"/>
    <x v="1"/>
    <n v="1315"/>
    <n v="2449.3333333333399"/>
    <n v="2690.4801833333299"/>
    <n v="2602.8267277777768"/>
    <n v="2700"/>
    <n v="320"/>
    <n v="640"/>
    <n v="1840"/>
    <n v="0"/>
    <n v="960"/>
    <n v="80"/>
    <n v="62"/>
    <n v="4860"/>
    <n v="56.016022289920201"/>
    <n v="3209.6554207407353"/>
    <n v="0"/>
    <n v="3209.6554207407353"/>
    <n v="3200"/>
    <n v="61.888712291474981"/>
    <n v="4208000"/>
    <n v="3220873.3333333419"/>
    <n v="3537981.4410833288"/>
    <n v="3422717.1470277766"/>
    <n v="0"/>
    <n v="6390900"/>
    <n v="1179"/>
    <n v="3772800"/>
    <n v="2887764.0000000079"/>
    <n v="3172076.136149996"/>
    <n v="3068732.7120499988"/>
    <n v="0"/>
    <n v="5729940"/>
    <x v="0"/>
    <n v="3200"/>
    <n v="0"/>
    <n v="0"/>
    <n v="0"/>
  </r>
  <r>
    <n v="1420"/>
    <x v="7"/>
    <s v="PB5SKPDB"/>
    <s v="PRO SILKY PUDING COKLAT 100 GR"/>
    <x v="3"/>
    <n v="13102"/>
    <n v="5878.0000000000227"/>
    <n v="6507.6375833333304"/>
    <n v="6037.8791944444447"/>
    <n v="8966"/>
    <n v="840"/>
    <n v="1008"/>
    <n v="3144"/>
    <n v="240"/>
    <n v="984"/>
    <n v="24"/>
    <n v="62"/>
    <n v="12950"/>
    <n v="64.343784876892784"/>
    <n v="5795.9212518518507"/>
    <n v="0"/>
    <n v="5795.9212518518507"/>
    <n v="5784"/>
    <n v="61.940767686129838"/>
    <n v="75781968"/>
    <n v="77013556.000000298"/>
    <n v="85263067.616833299"/>
    <n v="79108293.20561111"/>
    <n v="3144480"/>
    <n v="169670900"/>
    <n v="11750"/>
    <n v="67962000"/>
    <n v="69066500.000000268"/>
    <n v="76464741.604166627"/>
    <n v="70945080.534722224"/>
    <n v="2820000"/>
    <n v="152162500"/>
    <x v="0"/>
    <n v="5784"/>
    <n v="0"/>
    <n v="0"/>
    <n v="0"/>
  </r>
  <r>
    <n v="1421"/>
    <x v="7"/>
    <s v="PB5SMKAA"/>
    <s v="SUN BC SUSU BERAS MERAH KOTAK"/>
    <x v="3"/>
    <n v="8139"/>
    <n v="9206.3333333332903"/>
    <n v="9722.3039833333296"/>
    <n v="9093.4346611111123"/>
    <n v="13902"/>
    <n v="1848"/>
    <n v="984"/>
    <n v="2352"/>
    <n v="336"/>
    <n v="2496"/>
    <n v="24"/>
    <n v="62"/>
    <n v="18102"/>
    <n v="59.720009021722532"/>
    <n v="10077.402282962961"/>
    <n v="792"/>
    <n v="10077.402282962961"/>
    <n v="10080"/>
    <n v="62.008570085343486"/>
    <n v="82041120"/>
    <n v="74930346.999999642"/>
    <n v="79129832.120349973"/>
    <n v="74011464.706783339"/>
    <n v="2734704"/>
    <n v="147332178"/>
    <n v="7300"/>
    <n v="73584000"/>
    <n v="67206233.333333015"/>
    <n v="70972819.078333303"/>
    <n v="66382073.026111118"/>
    <n v="2452800"/>
    <n v="132144600"/>
    <x v="0"/>
    <n v="9288"/>
    <n v="0"/>
    <n v="0"/>
    <n v="0"/>
  </r>
  <r>
    <n v="1422"/>
    <x v="7"/>
    <s v="PB5SMRBN"/>
    <s v="SUN MARIE ROLL BESAR NEW"/>
    <x v="2"/>
    <n v="12520"/>
    <n v="4536.6666666666706"/>
    <n v="5054.069066666666"/>
    <n v="4817.0230222222226"/>
    <n v="6505"/>
    <n v="1320"/>
    <n v="792"/>
    <n v="2112"/>
    <n v="456"/>
    <n v="1560"/>
    <n v="24"/>
    <n v="62"/>
    <n v="9937"/>
    <n v="61.886770859250291"/>
    <n v="4616.2499792592607"/>
    <n v="0"/>
    <n v="4616.2499792592607"/>
    <n v="4608"/>
    <n v="61.948619847437726"/>
    <n v="57692160"/>
    <n v="56799066.666666716"/>
    <n v="63276944.714666657"/>
    <n v="60309128.238222227"/>
    <n v="5709120"/>
    <n v="124411240"/>
    <n v="11229"/>
    <n v="51743232"/>
    <n v="50942230.000000045"/>
    <n v="56752141.54959999"/>
    <n v="54090351.516533338"/>
    <n v="5120424"/>
    <n v="111582573"/>
    <x v="0"/>
    <n v="4608"/>
    <n v="0"/>
    <n v="0"/>
    <n v="0"/>
  </r>
  <r>
    <n v="1423"/>
    <x v="7"/>
    <s v="PB5SNBPB"/>
    <s v="PRO BTI SALMON NORWEGIA BOX 100 GR"/>
    <x v="3"/>
    <n v="14588.29"/>
    <n v="5815.6666666666497"/>
    <n v="5628.2739166666679"/>
    <n v="5866.0913055555557"/>
    <n v="5972"/>
    <n v="1944"/>
    <n v="696"/>
    <n v="1776"/>
    <n v="192"/>
    <n v="1920"/>
    <n v="24"/>
    <n v="62"/>
    <n v="9692"/>
    <n v="49.566224740592098"/>
    <n v="7867.5292814814857"/>
    <n v="648"/>
    <n v="7867.5292814814857"/>
    <n v="7872"/>
    <n v="62.022863871114396"/>
    <n v="114839018.88000001"/>
    <n v="84840631.876666427"/>
    <n v="82106892.095769197"/>
    <n v="85576241.131923065"/>
    <n v="2800951.68"/>
    <n v="141389706.68000001"/>
    <n v="13082.88"/>
    <n v="102988431.36"/>
    <n v="76085669.119999766"/>
    <n v="73634032.258880004"/>
    <n v="76745368.619626656"/>
    <n v="2511912.96"/>
    <n v="126799272.95999999"/>
    <x v="0"/>
    <n v="7224"/>
    <n v="0"/>
    <n v="0"/>
    <n v="144"/>
  </r>
  <r>
    <n v="1424"/>
    <x v="7"/>
    <s v="PB5SPSSB"/>
    <s v="SUN BC SUSU PISANG SUSU KOTAK"/>
    <x v="2"/>
    <n v="8139"/>
    <n v="5725.3333333333649"/>
    <n v="5989.558333333337"/>
    <n v="5929.5194444444451"/>
    <n v="8553"/>
    <n v="1056"/>
    <n v="552"/>
    <n v="480"/>
    <n v="384"/>
    <n v="1872"/>
    <n v="24"/>
    <n v="62"/>
    <n v="10089"/>
    <n v="51.044608730237172"/>
    <n v="7770.8985185185265"/>
    <n v="1560"/>
    <n v="7770.8985185185265"/>
    <n v="7776"/>
    <n v="62.025810598291848"/>
    <n v="63288864"/>
    <n v="46598488.000000253"/>
    <n v="48749015.275000028"/>
    <n v="48260358.75833334"/>
    <n v="3125376"/>
    <n v="82114371"/>
    <n v="7300"/>
    <n v="56764800"/>
    <n v="41794933.333333567"/>
    <n v="43723775.833333358"/>
    <n v="43285491.944444448"/>
    <n v="2803200"/>
    <n v="73649700"/>
    <x v="0"/>
    <n v="6216"/>
    <n v="264"/>
    <n v="744"/>
    <n v="1128"/>
  </r>
  <r>
    <n v="1425"/>
    <x v="7"/>
    <s v="PB5SPSSS"/>
    <s v="SUN BC SUSU PISANG SUSU SACHET"/>
    <x v="1"/>
    <n v="1315"/>
    <n v="3448.6666666667002"/>
    <n v="3257.74325"/>
    <n v="3529.5810833333326"/>
    <n v="3973"/>
    <n v="640"/>
    <n v="480"/>
    <n v="2240"/>
    <n v="0"/>
    <n v="1200"/>
    <n v="80"/>
    <n v="62"/>
    <n v="6853"/>
    <n v="58.247705647221174"/>
    <n v="3699.2108222222214"/>
    <n v="0"/>
    <n v="3699.2108222222214"/>
    <n v="3680"/>
    <n v="61.836715844441706"/>
    <n v="4839200"/>
    <n v="4534996.6666667107"/>
    <n v="4283932.3737500003"/>
    <n v="4641399.1245833319"/>
    <n v="0"/>
    <n v="9011695"/>
    <n v="1179"/>
    <n v="4338720"/>
    <n v="4065978.0000000396"/>
    <n v="3840879.2917499999"/>
    <n v="4161376.0972499992"/>
    <n v="0"/>
    <n v="8079687"/>
    <x v="0"/>
    <n v="3680"/>
    <n v="0"/>
    <n v="0"/>
    <n v="0"/>
  </r>
  <r>
    <n v="1426"/>
    <x v="7"/>
    <s v="PB5SSIAA"/>
    <s v="SUN FOC AYAM SAYUR KOTAK NEW"/>
    <x v="2"/>
    <n v="12121"/>
    <n v="750.33333333333258"/>
    <n v="787.16850000000318"/>
    <n v="773.05616666666765"/>
    <n v="1295"/>
    <n v="24"/>
    <n v="24"/>
    <n v="0"/>
    <n v="24"/>
    <n v="792"/>
    <n v="24"/>
    <n v="62"/>
    <n v="1319"/>
    <n v="51.186448936332077"/>
    <n v="1041.8179111111167"/>
    <n v="792"/>
    <n v="1041.8179111111167"/>
    <n v="1032"/>
    <n v="61.618996204889612"/>
    <n v="12508872"/>
    <n v="9094790.3333333246"/>
    <n v="9541269.3885000385"/>
    <n v="9370213.7961666789"/>
    <n v="290904"/>
    <n v="15987599"/>
    <n v="10870"/>
    <n v="11217840"/>
    <n v="8156123.3333333246"/>
    <n v="8556521.5950000342"/>
    <n v="8403120.5316666774"/>
    <n v="260880"/>
    <n v="14337530"/>
    <x v="0"/>
    <n v="240"/>
    <n v="0"/>
    <n v="0"/>
    <n v="0"/>
  </r>
  <r>
    <n v="1427"/>
    <x v="7"/>
    <s v="PB5SUKAA"/>
    <s v="SUN BC UBI UNGU KOTAK"/>
    <x v="2"/>
    <n v="8139"/>
    <n v="5366.3333333333412"/>
    <n v="4506.3880833333405"/>
    <n v="5145.7960277777802"/>
    <n v="4365"/>
    <n v="960"/>
    <n v="288"/>
    <n v="2448"/>
    <n v="240"/>
    <n v="3432"/>
    <n v="24"/>
    <n v="62"/>
    <n v="7773"/>
    <n v="45.316603833732493"/>
    <n v="7128.0332074074213"/>
    <n v="1032"/>
    <n v="7128.0332074074213"/>
    <n v="7128"/>
    <n v="61.999806400755652"/>
    <n v="58014792"/>
    <n v="43676587.000000067"/>
    <n v="36677492.610250056"/>
    <n v="41881633.870083354"/>
    <n v="1953360"/>
    <n v="63264447"/>
    <n v="7300"/>
    <n v="52034400"/>
    <n v="39174233.333333388"/>
    <n v="32896633.008333385"/>
    <n v="37564311.002777793"/>
    <n v="1752000"/>
    <n v="56742900"/>
    <x v="0"/>
    <n v="6096"/>
    <n v="0"/>
    <n v="168"/>
    <n v="960"/>
  </r>
  <r>
    <n v="1428"/>
    <x v="7"/>
    <s v="PB5SUUSA"/>
    <s v="SUN BC SUSU UBI UNGU SACHET"/>
    <x v="1"/>
    <n v="1315"/>
    <n v="3035.9999999999964"/>
    <n v="4125.4988499999999"/>
    <n v="3496.499616666667"/>
    <n v="982"/>
    <n v="0"/>
    <n v="0"/>
    <n v="9280"/>
    <n v="0"/>
    <n v="6000"/>
    <n v="80"/>
    <n v="62"/>
    <n v="10262"/>
    <n v="88.048057701059761"/>
    <n v="1089.5980577777791"/>
    <n v="0"/>
    <n v="1089.5980577777791"/>
    <n v="1120"/>
    <n v="62.260848953713356"/>
    <n v="1472800"/>
    <n v="3992339.9999999953"/>
    <n v="5425030.9877500003"/>
    <n v="4597896.9959166674"/>
    <n v="0"/>
    <n v="13494530"/>
    <n v="1179"/>
    <n v="1320480"/>
    <n v="3579443.9999999958"/>
    <n v="4863963.1441500001"/>
    <n v="4122373.0480500003"/>
    <n v="0"/>
    <n v="12098898"/>
    <x v="0"/>
    <n v="1120"/>
    <n v="0"/>
    <n v="0"/>
    <n v="0"/>
  </r>
  <r>
    <n v="1429"/>
    <x v="7"/>
    <s v="PB5TSWPB"/>
    <s v="PRO BC TIM SAPI WORTEL 120 GR"/>
    <x v="2"/>
    <n v="13961"/>
    <n v="5334.6666666666533"/>
    <n v="5075.7313333333368"/>
    <n v="5344.5771111111126"/>
    <n v="5757"/>
    <n v="1536"/>
    <n v="840"/>
    <n v="3432"/>
    <n v="168"/>
    <n v="1464"/>
    <n v="24"/>
    <n v="62"/>
    <n v="10725"/>
    <n v="60.20120831096208"/>
    <n v="5228.1906962963039"/>
    <n v="0"/>
    <n v="5228.1906962963039"/>
    <n v="5232"/>
    <n v="62.021382255084944"/>
    <n v="73043952"/>
    <n v="74477281.33333315"/>
    <n v="70862285.144666716"/>
    <n v="74615641.048222244"/>
    <n v="2345448"/>
    <n v="149731725"/>
    <n v="12521"/>
    <n v="65509872"/>
    <n v="66795361.333333164"/>
    <n v="63553232.024666712"/>
    <n v="66919450.008222237"/>
    <n v="2103528"/>
    <n v="134287725"/>
    <x v="0"/>
    <n v="5232"/>
    <n v="0"/>
    <n v="0"/>
    <n v="0"/>
  </r>
  <r>
    <n v="1430"/>
    <x v="8"/>
    <s v="PD800002"/>
    <s v="PHOTODERM MAX FLUIDE SPF100 40ML V2"/>
    <x v="3"/>
    <n v="255856"/>
    <n v="175.00000000000099"/>
    <n v="236"/>
    <n v="183"/>
    <n v="261"/>
    <n v="0"/>
    <n v="0"/>
    <n v="51"/>
    <n v="83"/>
    <n v="364"/>
    <n v="128"/>
    <n v="45"/>
    <n v="312"/>
    <n v="51.147540983606554"/>
    <n v="115.5"/>
    <n v="230"/>
    <n v="0"/>
    <n v="0"/>
    <n v="26.065573770491802"/>
    <n v="0"/>
    <n v="44774800.000000253"/>
    <n v="60382016"/>
    <n v="46821648"/>
    <n v="21236048"/>
    <n v="79827072"/>
    <n v="231550"/>
    <n v="0"/>
    <n v="40521250.000000231"/>
    <n v="54645800"/>
    <n v="42373650"/>
    <n v="19218650"/>
    <n v="72243600"/>
    <x v="0"/>
    <n v="-230"/>
    <n v="0"/>
    <n v="0"/>
    <n v="2"/>
  </r>
  <r>
    <n v="1431"/>
    <x v="8"/>
    <s v="PD800003"/>
    <s v="SENSIBIO DEFENSIVE T40ML"/>
    <x v="2"/>
    <n v="241441"/>
    <n v="43.333333333333698"/>
    <n v="86"/>
    <n v="50.666666666666671"/>
    <n v="51"/>
    <n v="12"/>
    <n v="0"/>
    <n v="10"/>
    <n v="44"/>
    <n v="68"/>
    <n v="128"/>
    <n v="45"/>
    <n v="73"/>
    <n v="43.223684210526315"/>
    <n v="45"/>
    <n v="14"/>
    <n v="0"/>
    <n v="0"/>
    <n v="18.355263157894736"/>
    <n v="0"/>
    <n v="10462443.333333421"/>
    <n v="20763926"/>
    <n v="12233010.666666668"/>
    <n v="10623404"/>
    <n v="17625193"/>
    <n v="218505"/>
    <n v="0"/>
    <n v="9468550.0000000801"/>
    <n v="18791430"/>
    <n v="11070920.000000002"/>
    <n v="9614220"/>
    <n v="15950865"/>
    <x v="0"/>
    <n v="-14"/>
    <n v="0"/>
    <n v="10"/>
    <n v="22"/>
  </r>
  <r>
    <n v="1432"/>
    <x v="8"/>
    <s v="PD800005"/>
    <s v="SENSIBIO H2O EYE 125ML"/>
    <x v="1"/>
    <n v="154955"/>
    <n v="38.000000000000398"/>
    <n v="61"/>
    <n v="53.666666666666664"/>
    <n v="39"/>
    <n v="10"/>
    <n v="0"/>
    <n v="0"/>
    <n v="0"/>
    <n v="160"/>
    <n v="40"/>
    <n v="45"/>
    <n v="49"/>
    <n v="27.39130434782609"/>
    <n v="92.5"/>
    <n v="160"/>
    <n v="0"/>
    <n v="0"/>
    <n v="0"/>
    <n v="0"/>
    <n v="5888290.0000000615"/>
    <n v="9452255"/>
    <n v="8315918.333333333"/>
    <n v="0"/>
    <n v="7592795"/>
    <n v="140234.28"/>
    <n v="0"/>
    <n v="5328902.6400000555"/>
    <n v="8554291.0800000001"/>
    <n v="7525906.3599999994"/>
    <n v="0"/>
    <n v="6871479.7199999997"/>
    <x v="0"/>
    <n v="-160"/>
    <n v="0"/>
    <n v="0"/>
    <n v="0"/>
  </r>
  <r>
    <n v="1433"/>
    <x v="8"/>
    <s v="PD800007"/>
    <s v="ATODERM CREME ULTRA 500 ML (PUMP)"/>
    <x v="3"/>
    <n v="356757"/>
    <n v="76.999999999999801"/>
    <n v="51"/>
    <n v="67.666666666666657"/>
    <n v="147"/>
    <n v="0"/>
    <n v="0"/>
    <n v="11"/>
    <n v="24"/>
    <n v="24"/>
    <n v="6"/>
    <n v="45"/>
    <n v="158"/>
    <n v="70.049261083743858"/>
    <n v="0"/>
    <n v="0"/>
    <n v="0"/>
    <n v="0"/>
    <n v="58.078817733990157"/>
    <n v="0"/>
    <n v="27470288.999999929"/>
    <n v="18194607"/>
    <n v="24140556.999999996"/>
    <n v="8562168"/>
    <n v="56367606"/>
    <n v="322865.09000000003"/>
    <n v="0"/>
    <n v="24860611.929999936"/>
    <n v="16466119.590000002"/>
    <n v="21847204.423333332"/>
    <n v="7748762.1600000001"/>
    <n v="51012684.220000006"/>
    <x v="0"/>
    <n v="0"/>
    <n v="0"/>
    <n v="0"/>
    <n v="0"/>
  </r>
  <r>
    <n v="1434"/>
    <x v="8"/>
    <s v="PD800008"/>
    <s v="ATODERM CREME ULTRA 200 ML (TUBE)"/>
    <x v="3"/>
    <n v="212613"/>
    <n v="101.9999999999997"/>
    <n v="124"/>
    <n v="113.66666666666666"/>
    <n v="94"/>
    <n v="0"/>
    <n v="0"/>
    <n v="12"/>
    <n v="90"/>
    <n v="120"/>
    <n v="5"/>
    <n v="45"/>
    <n v="106"/>
    <n v="27.976539589442815"/>
    <n v="98.5"/>
    <n v="18"/>
    <n v="0"/>
    <n v="0"/>
    <n v="19.002932551319653"/>
    <n v="0"/>
    <n v="21686525.999999937"/>
    <n v="26364012"/>
    <n v="24167010.999999996"/>
    <n v="19135170"/>
    <n v="22536978"/>
    <n v="192414.77"/>
    <n v="0"/>
    <n v="19626306.539999943"/>
    <n v="23859431.48"/>
    <n v="21871145.52333333"/>
    <n v="17317329.300000001"/>
    <n v="20395965.619999997"/>
    <x v="0"/>
    <n v="-18"/>
    <n v="0"/>
    <n v="0"/>
    <n v="28"/>
  </r>
  <r>
    <n v="1435"/>
    <x v="8"/>
    <s v="PD800011"/>
    <s v="SENSITIVE SKIN DOUBLE CLEANS PACK"/>
    <x v="1"/>
    <n v="126126"/>
    <n v="9.3333333333333002"/>
    <n v="11"/>
    <n v="8.6666666666666661"/>
    <n v="31"/>
    <n v="0"/>
    <n v="0"/>
    <n v="0"/>
    <n v="2"/>
    <n v="2"/>
    <n v="1"/>
    <n v="45"/>
    <n v="31"/>
    <n v="107.30769230769231"/>
    <n v="0"/>
    <n v="0"/>
    <n v="0"/>
    <n v="0"/>
    <n v="76.15384615384616"/>
    <n v="0"/>
    <n v="1177175.9999999958"/>
    <n v="1387386"/>
    <n v="1093092"/>
    <n v="252252"/>
    <n v="3909906"/>
    <n v="114144.14"/>
    <n v="0"/>
    <n v="1065345.3066666629"/>
    <n v="1255585.54"/>
    <n v="989249.21333333326"/>
    <n v="228288.28"/>
    <n v="3538468.34"/>
    <x v="0"/>
    <n v="0"/>
    <n v="0"/>
    <n v="0"/>
    <n v="0"/>
  </r>
  <r>
    <n v="1436"/>
    <x v="8"/>
    <s v="PD800013"/>
    <s v="SOOTHING MICELLAR WATER VALUE KIT"/>
    <x v="3"/>
    <n v="374775"/>
    <n v="174.66666666666302"/>
    <n v="127"/>
    <n v="165.66666666666669"/>
    <n v="86"/>
    <n v="0"/>
    <n v="0"/>
    <n v="0"/>
    <n v="79"/>
    <n v="148"/>
    <n v="1"/>
    <n v="45"/>
    <n v="86"/>
    <n v="15.573440643863178"/>
    <n v="210.5"/>
    <n v="69"/>
    <n v="0"/>
    <n v="0"/>
    <n v="6.8812877263581482"/>
    <n v="0"/>
    <n v="65460699.999998637"/>
    <n v="47596425"/>
    <n v="62087725.000000007"/>
    <n v="29607225"/>
    <n v="32230650"/>
    <n v="339171"/>
    <n v="0"/>
    <n v="59241867.999998763"/>
    <n v="43074717"/>
    <n v="56189329.000000007"/>
    <n v="26794509"/>
    <n v="29168706"/>
    <x v="0"/>
    <n v="-69"/>
    <n v="0"/>
    <n v="0"/>
    <n v="0"/>
  </r>
  <r>
    <n v="1437"/>
    <x v="8"/>
    <s v="PD800014"/>
    <s v="DERMATOLOGICAL MICELLAR W M TWINPK"/>
    <x v="3"/>
    <n v="165045"/>
    <n v="167"/>
    <n v="117"/>
    <n v="163.66666666666666"/>
    <n v="611"/>
    <n v="14"/>
    <n v="0"/>
    <n v="97"/>
    <n v="0"/>
    <n v="18"/>
    <n v="1"/>
    <n v="45"/>
    <n v="722"/>
    <n v="132.34215885947046"/>
    <n v="0"/>
    <n v="0"/>
    <n v="0"/>
    <n v="0"/>
    <n v="110.89613034623218"/>
    <n v="0"/>
    <n v="27562515"/>
    <n v="19310265"/>
    <n v="27012365"/>
    <n v="0"/>
    <n v="119162490"/>
    <n v="149365.76999999999"/>
    <n v="0"/>
    <n v="24944083.59"/>
    <n v="17475795.09"/>
    <n v="24446197.689999998"/>
    <n v="0"/>
    <n v="107842085.94"/>
    <x v="0"/>
    <n v="0"/>
    <n v="0"/>
    <n v="0"/>
    <n v="0"/>
  </r>
  <r>
    <n v="1438"/>
    <x v="8"/>
    <s v="PD800015"/>
    <s v="SEBIUM KERATO+ TE 30ML"/>
    <x v="2"/>
    <n v="241441"/>
    <n v="9"/>
    <n v="3"/>
    <n v="9"/>
    <n v="82"/>
    <n v="0"/>
    <n v="12"/>
    <n v="0"/>
    <n v="0"/>
    <n v="4"/>
    <n v="64"/>
    <n v="45"/>
    <n v="82"/>
    <n v="273.33333333333331"/>
    <n v="0"/>
    <n v="16"/>
    <n v="0"/>
    <n v="0"/>
    <n v="263.33333333333337"/>
    <n v="0"/>
    <n v="2172969"/>
    <n v="724323"/>
    <n v="2172969"/>
    <n v="0"/>
    <n v="19798162"/>
    <n v="218504"/>
    <n v="0"/>
    <n v="1966536"/>
    <n v="655512"/>
    <n v="1966536"/>
    <n v="0"/>
    <n v="17917328"/>
    <x v="0"/>
    <n v="-16"/>
    <n v="0"/>
    <n v="0"/>
    <n v="0"/>
  </r>
  <r>
    <n v="1439"/>
    <x v="8"/>
    <s v="PD800017"/>
    <s v="PHOTODERM AKN MAT SPF30 T40ML"/>
    <x v="2"/>
    <n v="255856"/>
    <n v="16.999999999999702"/>
    <n v="14"/>
    <n v="10"/>
    <n v="70"/>
    <n v="11"/>
    <n v="1"/>
    <n v="9"/>
    <n v="0"/>
    <n v="8"/>
    <n v="128"/>
    <n v="45"/>
    <n v="90"/>
    <n v="270"/>
    <n v="0"/>
    <n v="0"/>
    <n v="0"/>
    <n v="0"/>
    <n v="228"/>
    <n v="0"/>
    <n v="4349551.9999999236"/>
    <n v="3581984"/>
    <n v="2558560"/>
    <n v="0"/>
    <n v="23027040"/>
    <n v="231550"/>
    <n v="0"/>
    <n v="3936349.9999999311"/>
    <n v="3241700"/>
    <n v="2315500"/>
    <n v="0"/>
    <n v="20839500"/>
    <x v="0"/>
    <n v="0"/>
    <n v="0"/>
    <n v="0"/>
    <n v="0"/>
  </r>
  <r>
    <n v="1440"/>
    <x v="8"/>
    <s v="PD800018"/>
    <s v="PHOTODERM PEDIATRICS SPF50 T100ML"/>
    <x v="2"/>
    <n v="277477"/>
    <n v="56"/>
    <n v="59"/>
    <n v="57"/>
    <n v="80"/>
    <n v="0"/>
    <n v="0"/>
    <n v="0"/>
    <n v="50"/>
    <n v="75"/>
    <n v="50"/>
    <n v="45"/>
    <n v="80"/>
    <n v="42.105263157894733"/>
    <n v="14.5"/>
    <n v="25"/>
    <n v="0"/>
    <n v="0"/>
    <n v="37.368421052631582"/>
    <n v="0"/>
    <n v="15538712"/>
    <n v="16371143"/>
    <n v="15816189"/>
    <n v="13873850"/>
    <n v="22198160"/>
    <n v="251117"/>
    <n v="0"/>
    <n v="14062552"/>
    <n v="14815903"/>
    <n v="14313669"/>
    <n v="12555850"/>
    <n v="20089360"/>
    <x v="0"/>
    <n v="-25"/>
    <n v="0"/>
    <n v="0"/>
    <n v="0"/>
  </r>
  <r>
    <n v="1441"/>
    <x v="8"/>
    <s v="PD800019"/>
    <s v="BARRIER REPAIR STARTER KIT"/>
    <x v="1"/>
    <n v="215495.5"/>
    <n v="7.6666666666666998"/>
    <n v="13"/>
    <n v="9.6666666666666661"/>
    <n v="33"/>
    <n v="5"/>
    <n v="0"/>
    <n v="0"/>
    <n v="0"/>
    <n v="5"/>
    <n v="5"/>
    <n v="45"/>
    <n v="38"/>
    <n v="117.93103448275863"/>
    <n v="0"/>
    <n v="5"/>
    <n v="0"/>
    <n v="0"/>
    <n v="77.58620689655173"/>
    <n v="0"/>
    <n v="1652132.1666666737"/>
    <n v="2801441.5"/>
    <n v="2083123.1666666665"/>
    <n v="0"/>
    <n v="8188829"/>
    <n v="195023.42"/>
    <n v="0"/>
    <n v="1495179.55333334"/>
    <n v="2535304.46"/>
    <n v="1885226.3933333333"/>
    <n v="0"/>
    <n v="7410889.9600000009"/>
    <x v="0"/>
    <n v="-5"/>
    <n v="0"/>
    <n v="0"/>
    <n v="0"/>
  </r>
  <r>
    <n v="1442"/>
    <x v="8"/>
    <s v="PD800020"/>
    <s v="POWERFUL FACE, EYE&amp;LIPS MICELLAR WT"/>
    <x v="1"/>
    <n v="157837.84"/>
    <n v="20.6666666666667"/>
    <n v="33"/>
    <n v="29.666666666666668"/>
    <n v="37"/>
    <n v="0"/>
    <n v="0"/>
    <n v="0"/>
    <n v="14"/>
    <n v="23"/>
    <n v="1"/>
    <n v="45"/>
    <n v="37"/>
    <n v="37.415730337078649"/>
    <n v="26.5"/>
    <n v="9"/>
    <n v="0"/>
    <n v="0"/>
    <n v="18.202247191011235"/>
    <n v="0"/>
    <n v="3261982.026666672"/>
    <n v="5208648.72"/>
    <n v="4682522.5866666669"/>
    <n v="2209729.7599999998"/>
    <n v="5840000.0800000001"/>
    <n v="142843.24"/>
    <n v="0"/>
    <n v="2952093.6266666711"/>
    <n v="4713826.92"/>
    <n v="4237682.7866666662"/>
    <n v="1999805.3599999999"/>
    <n v="5285199.88"/>
    <x v="0"/>
    <n v="-9"/>
    <n v="0"/>
    <n v="0"/>
    <n v="0"/>
  </r>
  <r>
    <n v="1443"/>
    <x v="8"/>
    <s v="PD800021"/>
    <s v="HYDRABIO HYALU+ SERUM F30ML"/>
    <x v="2"/>
    <n v="414414.42"/>
    <n v="16.6666666666666"/>
    <n v="5"/>
    <n v="17.333333333333332"/>
    <n v="59"/>
    <n v="0"/>
    <n v="12"/>
    <n v="0"/>
    <n v="0"/>
    <n v="0"/>
    <n v="30"/>
    <n v="45"/>
    <n v="59"/>
    <n v="102.11538461538463"/>
    <n v="0"/>
    <n v="12"/>
    <n v="0"/>
    <n v="0"/>
    <n v="93.461538461538467"/>
    <n v="0"/>
    <n v="6906906.9999999721"/>
    <n v="2072072.0999999999"/>
    <n v="7183183.2799999993"/>
    <n v="0"/>
    <n v="24450450.779999997"/>
    <n v="375045.05"/>
    <n v="0"/>
    <n v="6250750.8333333079"/>
    <n v="1875225.25"/>
    <n v="6500780.8666666662"/>
    <n v="0"/>
    <n v="22127657.949999999"/>
    <x v="0"/>
    <n v="-12"/>
    <n v="0"/>
    <n v="0"/>
    <n v="0"/>
  </r>
  <r>
    <n v="1444"/>
    <x v="8"/>
    <s v="PD800022"/>
    <s v="SEBIUM SERUM F30ML"/>
    <x v="2"/>
    <n v="414414.42"/>
    <n v="12.666666666666661"/>
    <n v="7"/>
    <n v="12.333333333333332"/>
    <n v="44"/>
    <n v="9"/>
    <n v="0"/>
    <n v="1"/>
    <n v="0"/>
    <n v="6"/>
    <n v="30"/>
    <n v="45"/>
    <n v="54"/>
    <n v="131.35135135135135"/>
    <n v="0"/>
    <n v="5"/>
    <n v="0"/>
    <n v="0"/>
    <n v="114.32432432432432"/>
    <n v="0"/>
    <n v="5249249.3199999975"/>
    <n v="2900900.94"/>
    <n v="5111111.18"/>
    <n v="0"/>
    <n v="22378378.68"/>
    <n v="375045.05"/>
    <n v="0"/>
    <n v="4750570.633333331"/>
    <n v="2625315.35"/>
    <n v="4625555.6166666662"/>
    <n v="0"/>
    <n v="20252432.699999999"/>
    <x v="0"/>
    <n v="-5"/>
    <n v="2"/>
    <n v="5"/>
    <n v="5"/>
  </r>
  <r>
    <n v="1445"/>
    <x v="8"/>
    <s v="PD800023"/>
    <s v="PHOTODERM LAITULTRA SPF50 T100ML"/>
    <x v="2"/>
    <n v="270270.27"/>
    <n v="27.666666666666998"/>
    <n v="27"/>
    <n v="27"/>
    <n v="87"/>
    <n v="6"/>
    <n v="0"/>
    <n v="28"/>
    <n v="0"/>
    <n v="7"/>
    <n v="128"/>
    <n v="45"/>
    <n v="121"/>
    <n v="134.44444444444446"/>
    <n v="0"/>
    <n v="0"/>
    <n v="0"/>
    <n v="0"/>
    <n v="104.44444444444444"/>
    <n v="0"/>
    <n v="7477477.4700000901"/>
    <n v="7297297.290000001"/>
    <n v="7297297.290000001"/>
    <n v="0"/>
    <n v="32702702.670000002"/>
    <n v="244594.6"/>
    <n v="0"/>
    <n v="6767117.2666667476"/>
    <n v="6604054.2000000002"/>
    <n v="6604054.2000000002"/>
    <n v="0"/>
    <n v="29595946.600000001"/>
    <x v="0"/>
    <n v="0"/>
    <n v="0"/>
    <n v="0"/>
    <n v="0"/>
  </r>
  <r>
    <n v="1446"/>
    <x v="8"/>
    <s v="PD800024"/>
    <s v="PHOTODERM AQUAFLUIDE SPF50 T40ML"/>
    <x v="2"/>
    <n v="255855.86"/>
    <n v="14.333333333333201"/>
    <n v="51"/>
    <n v="28"/>
    <n v="109"/>
    <n v="0"/>
    <n v="5"/>
    <n v="0"/>
    <n v="0"/>
    <n v="50"/>
    <n v="50"/>
    <n v="45"/>
    <n v="109"/>
    <n v="116.78571428571428"/>
    <n v="0"/>
    <n v="55"/>
    <n v="0"/>
    <n v="0"/>
    <n v="62.142857142857146"/>
    <n v="0"/>
    <n v="3667267.3266666327"/>
    <n v="13048648.859999999"/>
    <n v="7163964.0800000001"/>
    <n v="0"/>
    <n v="27888288.739999998"/>
    <n v="231549.55"/>
    <n v="0"/>
    <n v="3318876.8833333026"/>
    <n v="11809027.049999999"/>
    <n v="6483387.3999999994"/>
    <n v="0"/>
    <n v="25238900.949999999"/>
    <x v="0"/>
    <n v="-55"/>
    <n v="0"/>
    <n v="0"/>
    <n v="0"/>
  </r>
  <r>
    <n v="1447"/>
    <x v="8"/>
    <s v="PD800025"/>
    <s v="DRY &amp; ITCHY SKIN RELIEVERS"/>
    <x v="1"/>
    <n v="277477.48"/>
    <n v="14"/>
    <n v="18"/>
    <n v="14"/>
    <n v="37"/>
    <n v="0"/>
    <n v="0"/>
    <n v="6"/>
    <n v="0"/>
    <n v="1"/>
    <n v="1"/>
    <n v="45"/>
    <n v="43"/>
    <n v="92.142857142857153"/>
    <n v="0"/>
    <n v="0"/>
    <n v="0"/>
    <n v="0"/>
    <n v="53.571428571428577"/>
    <n v="0"/>
    <n v="3884684.7199999997"/>
    <n v="4994594.6399999997"/>
    <n v="3884684.7199999997"/>
    <n v="0"/>
    <n v="11931531.639999999"/>
    <n v="251117.12"/>
    <n v="0"/>
    <n v="3515639.6799999997"/>
    <n v="4520108.16"/>
    <n v="3515639.6799999997"/>
    <n v="0"/>
    <n v="10798036.16"/>
    <x v="0"/>
    <n v="0"/>
    <n v="0"/>
    <n v="0"/>
    <n v="0"/>
  </r>
  <r>
    <n v="1448"/>
    <x v="8"/>
    <s v="PD800028"/>
    <s v="OILY REBALANC DOUBLE CLEAN SET"/>
    <x v="1"/>
    <n v="237837.84"/>
    <n v="8"/>
    <n v="6"/>
    <n v="10"/>
    <n v="12"/>
    <n v="0"/>
    <n v="0"/>
    <n v="6"/>
    <n v="0"/>
    <n v="1"/>
    <n v="1"/>
    <n v="45"/>
    <n v="18"/>
    <n v="54"/>
    <n v="3"/>
    <n v="0"/>
    <n v="0"/>
    <n v="0"/>
    <n v="36"/>
    <n v="0"/>
    <n v="1902702.72"/>
    <n v="1427027.04"/>
    <n v="2378378.4"/>
    <n v="0"/>
    <n v="4281081.12"/>
    <n v="215243.25"/>
    <n v="0"/>
    <n v="1721946"/>
    <n v="1291459.5"/>
    <n v="2152432.5"/>
    <n v="0"/>
    <n v="3874378.5"/>
    <x v="0"/>
    <n v="0"/>
    <n v="0"/>
    <n v="0"/>
    <n v="0"/>
  </r>
  <r>
    <n v="1449"/>
    <x v="8"/>
    <s v="PD800029"/>
    <s v="SOOTHING DOUBLE CLEANSING SET"/>
    <x v="1"/>
    <n v="237837.84"/>
    <n v="16.333333333333698"/>
    <n v="8"/>
    <n v="9.3333333333333339"/>
    <n v="40"/>
    <n v="0"/>
    <n v="0"/>
    <n v="0"/>
    <n v="0"/>
    <n v="12"/>
    <n v="1"/>
    <n v="45"/>
    <n v="40"/>
    <n v="128.57142857142856"/>
    <n v="0"/>
    <n v="12"/>
    <n v="0"/>
    <n v="0"/>
    <n v="102.85714285714285"/>
    <n v="0"/>
    <n v="3884684.7200000868"/>
    <n v="1902702.72"/>
    <n v="2219819.8400000003"/>
    <n v="0"/>
    <n v="9513513.5999999996"/>
    <n v="215243.25"/>
    <n v="0"/>
    <n v="3515639.7500000787"/>
    <n v="1721946"/>
    <n v="2008937.0000000002"/>
    <n v="0"/>
    <n v="8609730"/>
    <x v="0"/>
    <n v="-12"/>
    <n v="0"/>
    <n v="0"/>
    <n v="0"/>
  </r>
  <r>
    <n v="1450"/>
    <x v="8"/>
    <s v="PD800030"/>
    <s v="DERM ULTRA MOIS CLEAN"/>
    <x v="1"/>
    <n v="299099.09999999998"/>
    <n v="23.6666666666667"/>
    <n v="30"/>
    <n v="28.333333333333332"/>
    <n v="25"/>
    <n v="0"/>
    <n v="0"/>
    <n v="0"/>
    <n v="17"/>
    <n v="26"/>
    <n v="1"/>
    <n v="45"/>
    <n v="25"/>
    <n v="26.47058823529412"/>
    <n v="30.5"/>
    <n v="9"/>
    <n v="0"/>
    <n v="0"/>
    <n v="12.705882352941176"/>
    <n v="0"/>
    <n v="7078678.7000000095"/>
    <n v="8972973"/>
    <n v="8474474.4999999981"/>
    <n v="5084684.6999999993"/>
    <n v="7477477.4999999991"/>
    <n v="270684.69"/>
    <n v="0"/>
    <n v="6406204.3300000094"/>
    <n v="8120540.7000000002"/>
    <n v="7669399.5499999998"/>
    <n v="4601639.7300000004"/>
    <n v="6767117.25"/>
    <x v="0"/>
    <n v="-9"/>
    <n v="0"/>
    <n v="0"/>
    <n v="0"/>
  </r>
  <r>
    <n v="1451"/>
    <x v="8"/>
    <s v="PD800031"/>
    <s v="CICABIO ARNICA+ TE40ML"/>
    <x v="2"/>
    <n v="234234.23"/>
    <n v="56.333333333333599"/>
    <n v="89"/>
    <n v="65.666666666666657"/>
    <n v="79"/>
    <n v="0"/>
    <n v="28"/>
    <n v="16"/>
    <n v="40"/>
    <n v="153"/>
    <n v="128"/>
    <n v="45"/>
    <n v="95"/>
    <n v="43.401015228426402"/>
    <n v="52.5"/>
    <n v="125"/>
    <n v="0"/>
    <n v="0"/>
    <n v="21.015228426395943"/>
    <n v="0"/>
    <n v="13195194.956666728"/>
    <n v="20846846.470000003"/>
    <n v="15381381.103333332"/>
    <n v="9369369.2000000011"/>
    <n v="22252251.850000001"/>
    <n v="211981.98"/>
    <n v="0"/>
    <n v="11941651.540000057"/>
    <n v="18866396.220000003"/>
    <n v="13920150.02"/>
    <n v="8479279.2000000011"/>
    <n v="20138288.100000001"/>
    <x v="0"/>
    <n v="-125"/>
    <n v="0"/>
    <n v="0"/>
    <n v="9"/>
  </r>
  <r>
    <n v="1452"/>
    <x v="8"/>
    <s v="PD800032"/>
    <s v="CICABIO CREME+ TE40ML"/>
    <x v="3"/>
    <n v="194594.59"/>
    <n v="107.3333333333333"/>
    <n v="119"/>
    <n v="114.66666666666666"/>
    <n v="123"/>
    <n v="0"/>
    <n v="0"/>
    <n v="30"/>
    <n v="143"/>
    <n v="138"/>
    <n v="128"/>
    <n v="45"/>
    <n v="153"/>
    <n v="40.029069767441868"/>
    <n v="0"/>
    <n v="0"/>
    <n v="0"/>
    <n v="0"/>
    <n v="46.308139534883722"/>
    <n v="0"/>
    <n v="20886485.993333325"/>
    <n v="23156756.210000001"/>
    <n v="22313512.986666664"/>
    <n v="27827026.370000001"/>
    <n v="29772972.27"/>
    <n v="176108.1"/>
    <n v="0"/>
    <n v="18902269.399999995"/>
    <n v="20956863.900000002"/>
    <n v="20193728.800000001"/>
    <n v="25183458.300000001"/>
    <n v="26944539.300000001"/>
    <x v="0"/>
    <n v="0"/>
    <n v="0"/>
    <n v="0"/>
    <n v="0"/>
  </r>
  <r>
    <n v="1453"/>
    <x v="8"/>
    <s v="PD800033"/>
    <s v="SENSIBIODERMA MUSTHAVE MICELLAR WT"/>
    <x v="4"/>
    <n v="446846.85"/>
    <n v="0.33333333333332998"/>
    <n v="2"/>
    <n v="1"/>
    <n v="185"/>
    <n v="0"/>
    <n v="0"/>
    <n v="14"/>
    <n v="0"/>
    <n v="0"/>
    <n v="1"/>
    <n v="45"/>
    <n v="199"/>
    <n v="5970"/>
    <n v="0"/>
    <n v="0"/>
    <n v="0"/>
    <n v="0"/>
    <n v="5910"/>
    <n v="0"/>
    <n v="148948.9499999985"/>
    <n v="893693.7"/>
    <n v="446846.85"/>
    <n v="0"/>
    <n v="88922523.149999991"/>
    <n v="404396.4"/>
    <n v="0"/>
    <n v="134798.79999999865"/>
    <n v="808792.8"/>
    <n v="404396.4"/>
    <n v="0"/>
    <n v="80474883.600000009"/>
    <x v="0"/>
    <n v="0"/>
    <n v="0"/>
    <n v="0"/>
    <n v="0"/>
  </r>
  <r>
    <n v="1454"/>
    <x v="8"/>
    <s v="PD800034"/>
    <s v="SENSIBIODERMA MICELLAR CARE SLTIONS"/>
    <x v="4"/>
    <n v="302702.7"/>
    <n v="3.3333333333333002"/>
    <n v="10"/>
    <n v="6.666666666666667"/>
    <n v="176"/>
    <n v="0"/>
    <n v="0"/>
    <n v="14"/>
    <n v="0"/>
    <n v="0"/>
    <n v="1"/>
    <n v="45"/>
    <n v="190"/>
    <n v="855"/>
    <n v="0"/>
    <n v="0"/>
    <n v="0"/>
    <n v="0"/>
    <n v="810"/>
    <n v="0"/>
    <n v="1009008.99999999"/>
    <n v="3027027"/>
    <n v="2018018.0000000002"/>
    <n v="0"/>
    <n v="57513513"/>
    <n v="273945.95"/>
    <n v="0"/>
    <n v="913153.16666665766"/>
    <n v="2739459.5"/>
    <n v="1826306.3333333335"/>
    <n v="0"/>
    <n v="52049730.5"/>
    <x v="0"/>
    <n v="0"/>
    <n v="0"/>
    <n v="0"/>
    <n v="0"/>
  </r>
  <r>
    <n v="1455"/>
    <x v="8"/>
    <s v="PD800035"/>
    <s v="ATODERM INTENSIVE GEL-CREME 200ML"/>
    <x v="4"/>
    <n v="270270.27"/>
    <n v="1.6666666666666998"/>
    <n v="20"/>
    <n v="15"/>
    <n v="162"/>
    <n v="0"/>
    <n v="0"/>
    <n v="37"/>
    <n v="0"/>
    <n v="0"/>
    <n v="1"/>
    <n v="45"/>
    <n v="199"/>
    <n v="398"/>
    <n v="0"/>
    <n v="0"/>
    <n v="0"/>
    <n v="0"/>
    <n v="358"/>
    <n v="0"/>
    <n v="450450.45000000898"/>
    <n v="5405405.4000000004"/>
    <n v="4054054.0500000003"/>
    <n v="0"/>
    <n v="53783783.730000004"/>
    <n v="244594.6"/>
    <n v="0"/>
    <n v="407657.66666667478"/>
    <n v="4891892"/>
    <n v="3668919"/>
    <n v="0"/>
    <n v="48674325.399999999"/>
    <x v="0"/>
    <n v="0"/>
    <n v="0"/>
    <n v="0"/>
    <n v="0"/>
  </r>
  <r>
    <n v="1456"/>
    <x v="8"/>
    <s v="PD800036"/>
    <s v="ATODERM HUILE DE DOUCHE 100ML"/>
    <x v="4"/>
    <n v="104505"/>
    <n v="13.99999999999967"/>
    <n v="361"/>
    <n v="130.66666666666666"/>
    <n v="148"/>
    <n v="0"/>
    <n v="0"/>
    <n v="0"/>
    <n v="220"/>
    <n v="397"/>
    <n v="1"/>
    <n v="45"/>
    <n v="148"/>
    <n v="33.979591836734699"/>
    <n v="189"/>
    <n v="177"/>
    <n v="0"/>
    <n v="0"/>
    <n v="1.6071428571428572"/>
    <n v="0"/>
    <n v="1463069.9999999655"/>
    <n v="37726305"/>
    <n v="13655319.999999998"/>
    <n v="22991100"/>
    <n v="15466740"/>
    <n v="94577"/>
    <n v="0"/>
    <n v="1324077.9999999688"/>
    <n v="34142297"/>
    <n v="12358061.333333332"/>
    <n v="20806940"/>
    <n v="13997396"/>
    <x v="0"/>
    <n v="-177"/>
    <n v="0"/>
    <n v="0"/>
    <n v="0"/>
  </r>
  <r>
    <n v="1457"/>
    <x v="8"/>
    <s v="PD800037"/>
    <s v="ATODERM HUILE DE DOUCHE 500ML"/>
    <x v="4"/>
    <n v="299099"/>
    <n v="28.333333333333698"/>
    <n v="38"/>
    <n v="31.666666666666668"/>
    <n v="56"/>
    <n v="0"/>
    <n v="0"/>
    <n v="0"/>
    <n v="27"/>
    <n v="40"/>
    <n v="1"/>
    <n v="45"/>
    <n v="56"/>
    <n v="53.05263157894737"/>
    <n v="2.5"/>
    <n v="13"/>
    <n v="0"/>
    <n v="0"/>
    <n v="42.631578947368418"/>
    <n v="0"/>
    <n v="8474471.6666667759"/>
    <n v="11365762"/>
    <n v="9471468.333333334"/>
    <n v="8075673"/>
    <n v="16749544"/>
    <n v="270685"/>
    <n v="0"/>
    <n v="7669408.3333334317"/>
    <n v="10286030"/>
    <n v="8571691.6666666679"/>
    <n v="7308495"/>
    <n v="15158360"/>
    <x v="0"/>
    <n v="-13"/>
    <n v="0"/>
    <n v="0"/>
    <n v="0"/>
  </r>
  <r>
    <n v="1458"/>
    <x v="8"/>
    <s v="PD800038"/>
    <s v="SEBIUM DERMA MICELLAR W M TWINPACK"/>
    <x v="4"/>
    <n v="165045"/>
    <n v="13"/>
    <n v="40"/>
    <n v="26.333333333333332"/>
    <n v="131"/>
    <n v="15"/>
    <n v="0"/>
    <n v="0"/>
    <n v="0"/>
    <n v="0"/>
    <n v="1"/>
    <n v="45"/>
    <n v="146"/>
    <n v="166.32911392405063"/>
    <n v="0"/>
    <n v="0"/>
    <n v="0"/>
    <n v="0"/>
    <n v="120.75949367088609"/>
    <n v="0"/>
    <n v="2145585"/>
    <n v="6601800"/>
    <n v="4346185"/>
    <n v="0"/>
    <n v="24096570"/>
    <n v="149366"/>
    <n v="0"/>
    <n v="1941758"/>
    <n v="5974640"/>
    <n v="3933304.6666666665"/>
    <n v="0"/>
    <n v="21807436"/>
    <x v="0"/>
    <n v="0"/>
    <n v="0"/>
    <n v="0"/>
    <n v="0"/>
  </r>
  <r>
    <n v="1459"/>
    <x v="8"/>
    <s v="PD800039"/>
    <s v="SENSIBIO AR+CREME TE40ML"/>
    <x v="4"/>
    <n v="306306"/>
    <n v="23.333333333333002"/>
    <n v="36"/>
    <n v="28.666666666666668"/>
    <n v="8"/>
    <n v="0"/>
    <n v="0"/>
    <n v="6"/>
    <n v="28"/>
    <n v="42"/>
    <n v="1"/>
    <n v="45"/>
    <n v="14"/>
    <n v="14.651162790697674"/>
    <n v="37"/>
    <n v="8"/>
    <n v="0"/>
    <n v="0"/>
    <n v="6.2790697674418601"/>
    <n v="0"/>
    <n v="7147139.9999998985"/>
    <n v="11027016"/>
    <n v="8780772"/>
    <n v="8576568"/>
    <n v="4288284"/>
    <n v="277207"/>
    <n v="0"/>
    <n v="6468163.3333332418"/>
    <n v="9979452"/>
    <n v="7946600.666666667"/>
    <n v="7761796"/>
    <n v="3880898"/>
    <x v="0"/>
    <n v="-8"/>
    <n v="0"/>
    <n v="0"/>
    <n v="9"/>
  </r>
  <r>
    <n v="1460"/>
    <x v="8"/>
    <s v="PD800040"/>
    <s v="SENSIBIO AR+BI SERUM FE30ML"/>
    <x v="4"/>
    <n v="428829"/>
    <n v="4.3333333333333002"/>
    <n v="13"/>
    <n v="8.6666666666666661"/>
    <n v="29"/>
    <n v="0"/>
    <n v="0"/>
    <n v="3"/>
    <n v="0"/>
    <n v="0"/>
    <n v="1"/>
    <n v="45"/>
    <n v="32"/>
    <n v="110.76923076923077"/>
    <n v="0"/>
    <n v="0"/>
    <n v="0"/>
    <n v="0"/>
    <n v="65.769230769230774"/>
    <n v="0"/>
    <n v="1858258.9999999858"/>
    <n v="5574777"/>
    <n v="3716517.9999999995"/>
    <n v="0"/>
    <n v="13722528"/>
    <n v="388090"/>
    <n v="0"/>
    <n v="1681723.3333333205"/>
    <n v="5045170"/>
    <n v="3363446.6666666665"/>
    <n v="0"/>
    <n v="12418880"/>
    <x v="0"/>
    <n v="0"/>
    <n v="0"/>
    <n v="0"/>
    <n v="0"/>
  </r>
  <r>
    <n v="1461"/>
    <x v="8"/>
    <s v="PD800041"/>
    <s v="SENSIBIO AR+SOS SPRAY F70ML"/>
    <x v="4"/>
    <n v="212613"/>
    <n v="5"/>
    <n v="10"/>
    <n v="8.3333333333333339"/>
    <n v="22"/>
    <n v="0"/>
    <n v="0"/>
    <n v="3"/>
    <n v="0"/>
    <n v="0"/>
    <n v="1"/>
    <n v="45"/>
    <n v="25"/>
    <n v="90"/>
    <n v="0"/>
    <n v="0"/>
    <n v="0"/>
    <n v="0"/>
    <n v="53.999999999999993"/>
    <n v="0"/>
    <n v="1063065"/>
    <n v="2126130"/>
    <n v="1771775.0000000002"/>
    <n v="0"/>
    <n v="5315325"/>
    <n v="192414"/>
    <n v="0"/>
    <n v="962070"/>
    <n v="1924140"/>
    <n v="1603450"/>
    <n v="0"/>
    <n v="4810350"/>
    <x v="0"/>
    <n v="0"/>
    <n v="0"/>
    <n v="0"/>
    <n v="0"/>
  </r>
  <r>
    <n v="1462"/>
    <x v="8"/>
    <s v="PD800042"/>
    <s v="ATODERM INTENSIVE BAUME 45ML"/>
    <x v="4"/>
    <n v="97297.3"/>
    <n v="0"/>
    <n v="0"/>
    <n v="0"/>
    <n v="0"/>
    <n v="0"/>
    <n v="0"/>
    <n v="0"/>
    <n v="0"/>
    <n v="0"/>
    <n v="100"/>
    <n v="45"/>
    <n v="0"/>
    <n v="0"/>
    <n v="0"/>
    <n v="0"/>
    <n v="0"/>
    <n v="0"/>
    <n v="0"/>
    <n v="0"/>
    <n v="0"/>
    <n v="0"/>
    <n v="0"/>
    <n v="0"/>
    <n v="0"/>
    <n v="88054.05"/>
    <n v="0"/>
    <n v="0"/>
    <n v="0"/>
    <n v="0"/>
    <n v="0"/>
    <n v="0"/>
    <x v="0"/>
    <n v="0"/>
    <n v="0"/>
    <n v="0"/>
    <n v="0"/>
  </r>
  <r>
    <n v="1463"/>
    <x v="8"/>
    <s v="PD800043"/>
    <s v="HYDRABIO LEGERE TE40ML"/>
    <x v="4"/>
    <n v="241441.44"/>
    <n v="0"/>
    <n v="0"/>
    <n v="0"/>
    <n v="102"/>
    <n v="0"/>
    <n v="0"/>
    <n v="0"/>
    <n v="0"/>
    <n v="0"/>
    <n v="90"/>
    <n v="45"/>
    <n v="102"/>
    <n v="9999"/>
    <n v="0"/>
    <n v="0"/>
    <n v="0"/>
    <n v="0"/>
    <n v="9999"/>
    <n v="0"/>
    <n v="0"/>
    <n v="0"/>
    <n v="0"/>
    <n v="0"/>
    <n v="24627026.879999999"/>
    <n v="218504.5"/>
    <n v="0"/>
    <n v="0"/>
    <n v="0"/>
    <n v="0"/>
    <n v="0"/>
    <n v="22287459"/>
    <x v="0"/>
    <n v="0"/>
    <n v="0"/>
    <n v="0"/>
    <n v="0"/>
  </r>
  <r>
    <n v="1464"/>
    <x v="8"/>
    <s v="PD800044"/>
    <s v="SENSIBIO GEL MOUSSANT 45ML"/>
    <x v="4"/>
    <n v="71351.350000000006"/>
    <n v="0"/>
    <n v="0"/>
    <n v="0"/>
    <n v="0"/>
    <n v="0"/>
    <n v="0"/>
    <n v="0"/>
    <n v="0"/>
    <n v="0"/>
    <n v="100"/>
    <n v="45"/>
    <n v="0"/>
    <n v="0"/>
    <n v="0"/>
    <n v="0"/>
    <n v="0"/>
    <n v="0"/>
    <n v="0"/>
    <n v="0"/>
    <n v="0"/>
    <n v="0"/>
    <n v="0"/>
    <n v="0"/>
    <n v="0"/>
    <n v="64572.97"/>
    <n v="0"/>
    <n v="0"/>
    <n v="0"/>
    <n v="0"/>
    <n v="0"/>
    <n v="0"/>
    <x v="0"/>
    <n v="0"/>
    <n v="0"/>
    <n v="0"/>
    <n v="0"/>
  </r>
  <r>
    <n v="1465"/>
    <x v="8"/>
    <s v="PD800045"/>
    <s v="SEBIUM GEL MOUSSANT 45ML"/>
    <x v="4"/>
    <n v="71351.350000000006"/>
    <n v="0"/>
    <n v="0"/>
    <n v="0"/>
    <n v="0"/>
    <n v="0"/>
    <n v="0"/>
    <n v="0"/>
    <n v="0"/>
    <n v="0"/>
    <n v="100"/>
    <n v="45"/>
    <n v="0"/>
    <n v="0"/>
    <n v="0"/>
    <n v="0"/>
    <n v="0"/>
    <n v="0"/>
    <n v="0"/>
    <n v="0"/>
    <n v="0"/>
    <n v="0"/>
    <n v="0"/>
    <n v="0"/>
    <n v="0"/>
    <n v="64572.97"/>
    <n v="0"/>
    <n v="0"/>
    <n v="0"/>
    <n v="0"/>
    <n v="0"/>
    <n v="0"/>
    <x v="0"/>
    <n v="0"/>
    <n v="0"/>
    <n v="0"/>
    <n v="0"/>
  </r>
  <r>
    <n v="1466"/>
    <x v="8"/>
    <s v="PD800046"/>
    <s v="SEBIUM GEL MOUSSANT 200ML TUBE"/>
    <x v="4"/>
    <n v="234234.4"/>
    <n v="7.9999999999999005"/>
    <n v="0"/>
    <n v="8"/>
    <n v="66"/>
    <n v="0"/>
    <n v="0"/>
    <n v="0"/>
    <n v="0"/>
    <n v="0"/>
    <n v="15"/>
    <n v="45"/>
    <n v="66"/>
    <n v="247.5"/>
    <n v="0"/>
    <n v="0"/>
    <n v="0"/>
    <n v="0"/>
    <n v="247.5"/>
    <n v="0"/>
    <n v="1873875.1999999767"/>
    <n v="0"/>
    <n v="1873875.2"/>
    <n v="0"/>
    <n v="15459470.4"/>
    <n v="211982.13"/>
    <n v="0"/>
    <n v="1695857.0399999788"/>
    <n v="0"/>
    <n v="1695857.04"/>
    <n v="0"/>
    <n v="13990820.58"/>
    <x v="0"/>
    <n v="0"/>
    <n v="0"/>
    <n v="0"/>
    <n v="0"/>
  </r>
  <r>
    <n v="1467"/>
    <x v="8"/>
    <s v="PD800047"/>
    <s v="SEBIUM LOTION 200ML BOTOL"/>
    <x v="4"/>
    <n v="241441.6"/>
    <n v="0"/>
    <n v="0"/>
    <n v="0"/>
    <n v="0"/>
    <n v="0"/>
    <n v="0"/>
    <n v="0"/>
    <n v="0"/>
    <n v="0"/>
    <n v="40"/>
    <n v="45"/>
    <n v="0"/>
    <n v="0"/>
    <n v="0"/>
    <n v="0"/>
    <n v="0"/>
    <n v="0"/>
    <n v="0"/>
    <n v="0"/>
    <n v="0"/>
    <n v="0"/>
    <n v="0"/>
    <n v="0"/>
    <n v="0"/>
    <n v="218504.65"/>
    <n v="0"/>
    <n v="0"/>
    <n v="0"/>
    <n v="0"/>
    <n v="0"/>
    <n v="0"/>
    <x v="0"/>
    <n v="0"/>
    <n v="0"/>
    <n v="0"/>
    <n v="0"/>
  </r>
  <r>
    <n v="1468"/>
    <x v="8"/>
    <s v="PD8ATD03"/>
    <s v="ATODERM GEL DOUCHE 100ML"/>
    <x v="1"/>
    <n v="90090"/>
    <n v="22.333333333333329"/>
    <n v="45"/>
    <n v="23"/>
    <n v="101"/>
    <n v="10"/>
    <n v="0"/>
    <n v="0"/>
    <n v="0"/>
    <n v="15"/>
    <n v="50"/>
    <n v="45"/>
    <n v="111"/>
    <n v="144.78260869565219"/>
    <n v="0"/>
    <n v="15"/>
    <n v="0"/>
    <n v="0"/>
    <n v="86.086956521739125"/>
    <n v="0"/>
    <n v="2012009.9999999995"/>
    <n v="4054050"/>
    <n v="2072070"/>
    <n v="0"/>
    <n v="9999990"/>
    <n v="81532"/>
    <n v="0"/>
    <n v="1820881.333333333"/>
    <n v="3668940"/>
    <n v="1875236"/>
    <n v="0"/>
    <n v="9050052"/>
    <x v="0"/>
    <n v="-15"/>
    <n v="0"/>
    <n v="0"/>
    <n v="0"/>
  </r>
  <r>
    <n v="1469"/>
    <x v="8"/>
    <s v="PD8ATD04"/>
    <s v="ATODERM GEL DOUCHE 200ML"/>
    <x v="1"/>
    <n v="154955"/>
    <n v="27.33333333333367"/>
    <n v="22"/>
    <n v="26.666666666666668"/>
    <n v="71"/>
    <n v="10"/>
    <n v="0"/>
    <n v="6"/>
    <n v="0"/>
    <n v="15"/>
    <n v="15"/>
    <n v="45"/>
    <n v="87"/>
    <n v="97.874999999999986"/>
    <n v="0"/>
    <n v="9"/>
    <n v="0"/>
    <n v="0"/>
    <n v="73.125"/>
    <n v="0"/>
    <n v="4235436.6666667191"/>
    <n v="3409010"/>
    <n v="4132133.3333333335"/>
    <n v="0"/>
    <n v="13481085"/>
    <n v="140234"/>
    <n v="0"/>
    <n v="3833062.666666714"/>
    <n v="3085148"/>
    <n v="3739573.3333333335"/>
    <n v="0"/>
    <n v="12200358"/>
    <x v="0"/>
    <n v="-9"/>
    <n v="9"/>
    <n v="9"/>
    <n v="9"/>
  </r>
  <r>
    <n v="1470"/>
    <x v="8"/>
    <s v="PD8ATD06"/>
    <s v="ATODERM INTENSIVE BAUME 75ML"/>
    <x v="3"/>
    <n v="154955"/>
    <n v="63.999999999999602"/>
    <n v="94"/>
    <n v="83.333333333333343"/>
    <n v="87"/>
    <n v="12"/>
    <n v="0"/>
    <n v="9"/>
    <n v="84"/>
    <n v="114"/>
    <n v="72"/>
    <n v="45"/>
    <n v="108"/>
    <n v="38.879999999999995"/>
    <n v="27"/>
    <n v="21"/>
    <n v="0"/>
    <n v="0"/>
    <n v="35.28"/>
    <n v="0"/>
    <n v="9917119.9999999385"/>
    <n v="14565770"/>
    <n v="12912916.666666668"/>
    <n v="13016220"/>
    <n v="16735140"/>
    <n v="140234"/>
    <n v="0"/>
    <n v="8974975.9999999441"/>
    <n v="13181996"/>
    <n v="11686166.666666668"/>
    <n v="11779656"/>
    <n v="15145272"/>
    <x v="0"/>
    <n v="-21"/>
    <n v="0"/>
    <n v="0"/>
    <n v="3"/>
  </r>
  <r>
    <n v="1471"/>
    <x v="8"/>
    <s v="PD8ATD07"/>
    <s v="ATODERM INTENSIVE GEL MOUS 500ML"/>
    <x v="3"/>
    <n v="396396"/>
    <n v="162.33333333333331"/>
    <n v="236"/>
    <n v="203.66666666666669"/>
    <n v="289"/>
    <n v="11"/>
    <n v="0"/>
    <n v="60"/>
    <n v="67"/>
    <n v="120"/>
    <n v="6"/>
    <n v="45"/>
    <n v="360"/>
    <n v="53.027823240589193"/>
    <n v="114.5"/>
    <n v="0"/>
    <n v="0"/>
    <n v="0"/>
    <n v="28.134206219312599"/>
    <n v="0"/>
    <n v="64348283.999999993"/>
    <n v="93549456"/>
    <n v="80732652.000000015"/>
    <n v="26558532"/>
    <n v="142702560"/>
    <n v="358739"/>
    <n v="0"/>
    <n v="58235297.666666657"/>
    <n v="84662404"/>
    <n v="73063176.333333343"/>
    <n v="24035513"/>
    <n v="129146040"/>
    <x v="0"/>
    <n v="0"/>
    <n v="0"/>
    <n v="0"/>
    <n v="5"/>
  </r>
  <r>
    <n v="1472"/>
    <x v="8"/>
    <s v="PD8ATD08"/>
    <s v="ATODERM INTENSIVE GEL (TUBE) 200ML"/>
    <x v="3"/>
    <n v="190991"/>
    <n v="116.33333333333367"/>
    <n v="111"/>
    <n v="100.66666666666666"/>
    <n v="254"/>
    <n v="30"/>
    <n v="0"/>
    <n v="57"/>
    <n v="0"/>
    <n v="30"/>
    <n v="15"/>
    <n v="45"/>
    <n v="341"/>
    <n v="101.6225165562914"/>
    <n v="0"/>
    <n v="0"/>
    <n v="0"/>
    <n v="0"/>
    <n v="68.543046357615907"/>
    <n v="0"/>
    <n v="22218619.666666731"/>
    <n v="21200001"/>
    <n v="19226427.333333332"/>
    <n v="0"/>
    <n v="65127931"/>
    <n v="172847"/>
    <n v="0"/>
    <n v="20107867.666666724"/>
    <n v="19186017"/>
    <n v="17399931.333333332"/>
    <n v="0"/>
    <n v="58940827"/>
    <x v="0"/>
    <n v="0"/>
    <n v="0"/>
    <n v="0"/>
    <n v="0"/>
  </r>
  <r>
    <n v="1473"/>
    <x v="8"/>
    <s v="PD8ATD09"/>
    <s v="ATODERM PP BAUME 200ML"/>
    <x v="2"/>
    <n v="273874"/>
    <n v="36.999999999999901"/>
    <n v="37"/>
    <n v="34.999999999999993"/>
    <n v="113"/>
    <n v="0"/>
    <n v="0"/>
    <n v="1"/>
    <n v="0"/>
    <n v="30"/>
    <n v="15"/>
    <n v="45"/>
    <n v="114"/>
    <n v="97.714285714285737"/>
    <n v="0"/>
    <n v="29"/>
    <n v="0"/>
    <n v="0"/>
    <n v="66.000000000000014"/>
    <n v="0"/>
    <n v="10133337.999999972"/>
    <n v="10133338"/>
    <n v="9585589.9999999981"/>
    <n v="0"/>
    <n v="31221636"/>
    <n v="247856"/>
    <n v="0"/>
    <n v="9170671.9999999758"/>
    <n v="9170672"/>
    <n v="8674959.9999999981"/>
    <n v="0"/>
    <n v="28255584"/>
    <x v="0"/>
    <n v="-29"/>
    <n v="19"/>
    <n v="19"/>
    <n v="34"/>
  </r>
  <r>
    <n v="1474"/>
    <x v="8"/>
    <s v="PD8ATDB5"/>
    <s v="ATODERM PP BAUME 500ML"/>
    <x v="2"/>
    <n v="396396"/>
    <n v="34.666666666667098"/>
    <n v="57"/>
    <n v="42.999999999999993"/>
    <n v="17729"/>
    <n v="6"/>
    <n v="0"/>
    <n v="0"/>
    <n v="0"/>
    <n v="42"/>
    <n v="12"/>
    <n v="45"/>
    <n v="17735"/>
    <n v="9999"/>
    <n v="0"/>
    <n v="42"/>
    <n v="0"/>
    <n v="0"/>
    <n v="12333.488372093027"/>
    <n v="0"/>
    <n v="13741728.000000171"/>
    <n v="22594572"/>
    <n v="17045027.999999996"/>
    <n v="0"/>
    <n v="7030083060"/>
    <n v="358739"/>
    <n v="0"/>
    <n v="12436285.333333489"/>
    <n v="20448123"/>
    <n v="15425776.999999998"/>
    <n v="0"/>
    <n v="6362236165"/>
    <x v="0"/>
    <n v="-42"/>
    <n v="25"/>
    <n v="37"/>
    <n v="49"/>
  </r>
  <r>
    <n v="1475"/>
    <x v="8"/>
    <s v="PD8ATDBM"/>
    <s v="ATODERM INTENSIVE BAUME 200ML"/>
    <x v="3"/>
    <n v="284685"/>
    <n v="392.3333333333328"/>
    <n v="326"/>
    <n v="385.66666666666663"/>
    <n v="177"/>
    <n v="30"/>
    <n v="0"/>
    <n v="58"/>
    <n v="240"/>
    <n v="360"/>
    <n v="15"/>
    <n v="45"/>
    <n v="265"/>
    <n v="20.613656006914436"/>
    <n v="399.5"/>
    <n v="62"/>
    <n v="60"/>
    <n v="60"/>
    <n v="18.591184096802078"/>
    <n v="17081100"/>
    <n v="111691414.99999985"/>
    <n v="92807310"/>
    <n v="109793514.99999999"/>
    <n v="68324400"/>
    <n v="75441525"/>
    <n v="257640"/>
    <n v="15458400"/>
    <n v="101080759.99999987"/>
    <n v="83990640"/>
    <n v="99363159.999999985"/>
    <n v="61833600"/>
    <n v="68274600"/>
    <x v="0"/>
    <n v="-2"/>
    <n v="0"/>
    <n v="27"/>
    <n v="127"/>
  </r>
  <r>
    <n v="1476"/>
    <x v="8"/>
    <s v="PD8ATDG5"/>
    <s v="ATODERM GEL DOUCHE 500ML"/>
    <x v="1"/>
    <n v="263063"/>
    <n v="13.333333333333369"/>
    <n v="16"/>
    <n v="16.666666666666664"/>
    <n v="6363"/>
    <n v="0"/>
    <n v="0"/>
    <n v="3072"/>
    <n v="0"/>
    <n v="12"/>
    <n v="6"/>
    <n v="45"/>
    <n v="9435"/>
    <n v="9999"/>
    <n v="0"/>
    <n v="0"/>
    <n v="0"/>
    <n v="0"/>
    <n v="16954.200000000004"/>
    <n v="0"/>
    <n v="3507506.6666666763"/>
    <n v="4209008"/>
    <n v="4384383.333333333"/>
    <n v="0"/>
    <n v="2481999405"/>
    <n v="238072"/>
    <n v="0"/>
    <n v="3174293.3333333419"/>
    <n v="3809152"/>
    <n v="3967866.666666666"/>
    <n v="0"/>
    <n v="2246209320"/>
    <x v="0"/>
    <n v="0"/>
    <n v="0"/>
    <n v="0"/>
    <n v="0"/>
  </r>
  <r>
    <n v="1477"/>
    <x v="8"/>
    <s v="PD8ATDH1"/>
    <s v="ATODERM HUILE DE DOUCHE 1000ML"/>
    <x v="3"/>
    <n v="428829"/>
    <n v="97.666666666666998"/>
    <n v="102"/>
    <n v="83.666666666666671"/>
    <n v="125"/>
    <n v="0"/>
    <n v="12"/>
    <n v="13"/>
    <n v="42"/>
    <n v="60"/>
    <n v="6"/>
    <n v="45"/>
    <n v="138"/>
    <n v="49.482071713147405"/>
    <n v="47.5"/>
    <n v="17"/>
    <n v="0"/>
    <n v="0"/>
    <n v="27.968127490039841"/>
    <n v="0"/>
    <n v="41882299.000000142"/>
    <n v="43740558"/>
    <n v="35878693"/>
    <n v="18010818"/>
    <n v="59178402"/>
    <n v="388090"/>
    <n v="0"/>
    <n v="37903456.666666798"/>
    <n v="39585180"/>
    <n v="32470196.666666668"/>
    <n v="16299780"/>
    <n v="53556420"/>
    <x v="0"/>
    <n v="-17"/>
    <n v="0"/>
    <n v="0"/>
    <n v="5"/>
  </r>
  <r>
    <n v="1478"/>
    <x v="8"/>
    <s v="PD8ATDH2"/>
    <s v="ATODERM HUILE DE DOUCHE 200ML"/>
    <x v="2"/>
    <n v="194595"/>
    <n v="55.6666666666667"/>
    <n v="363"/>
    <n v="153.33333333333334"/>
    <n v="3763"/>
    <n v="15"/>
    <n v="0"/>
    <n v="1080"/>
    <n v="310"/>
    <n v="480"/>
    <n v="15"/>
    <n v="45"/>
    <n v="4858"/>
    <n v="950.47826086956513"/>
    <n v="0"/>
    <n v="0"/>
    <n v="0"/>
    <n v="0"/>
    <n v="940.10869565217388"/>
    <n v="0"/>
    <n v="10832455.000000006"/>
    <n v="70637985"/>
    <n v="29837900"/>
    <n v="60324450"/>
    <n v="945342510"/>
    <n v="176108"/>
    <n v="0"/>
    <n v="9803345.3333333395"/>
    <n v="63927204"/>
    <n v="27003226.666666668"/>
    <n v="54593480"/>
    <n v="855532664"/>
    <x v="0"/>
    <n v="0"/>
    <n v="0"/>
    <n v="19"/>
    <n v="104"/>
  </r>
  <r>
    <n v="1479"/>
    <x v="8"/>
    <s v="PD8ATDI5"/>
    <s v="ATODERM INTENSIVE BAUME 500ML"/>
    <x v="3"/>
    <n v="500901"/>
    <n v="335.33333333332672"/>
    <n v="224"/>
    <n v="332.66666666666669"/>
    <n v="2796"/>
    <n v="56"/>
    <n v="0"/>
    <n v="672"/>
    <n v="180"/>
    <n v="288"/>
    <n v="12"/>
    <n v="45"/>
    <n v="3524"/>
    <n v="317.79559118236472"/>
    <n v="0"/>
    <n v="0"/>
    <n v="0"/>
    <n v="0"/>
    <n v="313.82765531062125"/>
    <n v="0"/>
    <n v="167968801.99999669"/>
    <n v="112201824"/>
    <n v="166633066"/>
    <n v="90162180"/>
    <n v="1765175124"/>
    <n v="453315"/>
    <n v="0"/>
    <n v="152011629.99999699"/>
    <n v="101542560"/>
    <n v="150802790"/>
    <n v="81596700"/>
    <n v="1597482060"/>
    <x v="0"/>
    <n v="0"/>
    <n v="0"/>
    <n v="54"/>
    <n v="102"/>
  </r>
  <r>
    <n v="1480"/>
    <x v="8"/>
    <s v="PD8HDR01"/>
    <s v="HYDRABIO BRUME 300ML"/>
    <x v="3"/>
    <n v="169369"/>
    <n v="87.999999999999432"/>
    <n v="143"/>
    <n v="77"/>
    <n v="194"/>
    <n v="0"/>
    <n v="0"/>
    <n v="63"/>
    <n v="29"/>
    <n v="54"/>
    <n v="6"/>
    <n v="45"/>
    <n v="257"/>
    <n v="100.12987012987013"/>
    <n v="0"/>
    <n v="0"/>
    <n v="0"/>
    <n v="0"/>
    <n v="55.714285714285715"/>
    <n v="0"/>
    <n v="14904471.999999903"/>
    <n v="24219767"/>
    <n v="13041413"/>
    <n v="4911701"/>
    <n v="43527833"/>
    <n v="153279"/>
    <n v="0"/>
    <n v="13488551.999999912"/>
    <n v="21918897"/>
    <n v="11802483"/>
    <n v="4445091"/>
    <n v="39392703"/>
    <x v="0"/>
    <n v="0"/>
    <n v="0"/>
    <n v="0"/>
    <n v="0"/>
  </r>
  <r>
    <n v="1481"/>
    <x v="8"/>
    <s v="PD8HDR02"/>
    <s v="HYDRABIO ESSENCE LOTION 200ML"/>
    <x v="2"/>
    <n v="241441"/>
    <n v="18.666666666666671"/>
    <n v="29"/>
    <n v="20.333333333333336"/>
    <n v="74"/>
    <n v="0"/>
    <n v="0"/>
    <n v="3"/>
    <n v="0"/>
    <n v="24"/>
    <n v="24"/>
    <n v="45"/>
    <n v="77"/>
    <n v="113.60655737704917"/>
    <n v="0"/>
    <n v="21"/>
    <n v="0"/>
    <n v="0"/>
    <n v="70.819672131147527"/>
    <n v="0"/>
    <n v="4506898.6666666679"/>
    <n v="7001789"/>
    <n v="4909300.333333334"/>
    <n v="0"/>
    <n v="18590957"/>
    <n v="218505"/>
    <n v="0"/>
    <n v="4078760.0000000009"/>
    <n v="6336645"/>
    <n v="4442935.0000000009"/>
    <n v="0"/>
    <n v="16824885"/>
    <x v="0"/>
    <n v="-21"/>
    <n v="3"/>
    <n v="6"/>
    <n v="6"/>
  </r>
  <r>
    <n v="1482"/>
    <x v="8"/>
    <s v="PD8HDR03"/>
    <s v="HYDRABIO GEL CREME 40ML"/>
    <x v="2"/>
    <n v="241441"/>
    <n v="20.999999999999602"/>
    <n v="40"/>
    <n v="28.666666666666668"/>
    <n v="56"/>
    <n v="0"/>
    <n v="0"/>
    <n v="0"/>
    <n v="0"/>
    <n v="90"/>
    <n v="84"/>
    <n v="45"/>
    <n v="56"/>
    <n v="58.604651162790695"/>
    <n v="27"/>
    <n v="90"/>
    <n v="0"/>
    <n v="0"/>
    <n v="16.744186046511629"/>
    <n v="0"/>
    <n v="5070260.9999999041"/>
    <n v="9657640"/>
    <n v="6921308.666666667"/>
    <n v="0"/>
    <n v="13520696"/>
    <n v="218505"/>
    <n v="0"/>
    <n v="4588604.9999999134"/>
    <n v="8740200"/>
    <n v="6263810"/>
    <n v="0"/>
    <n v="12236280"/>
    <x v="0"/>
    <n v="-90"/>
    <n v="0"/>
    <n v="0"/>
    <n v="0"/>
  </r>
  <r>
    <n v="1483"/>
    <x v="8"/>
    <s v="PD8HDR04"/>
    <s v="HYDRABIO H2O 100ML"/>
    <x v="3"/>
    <n v="118919"/>
    <n v="195.66666666666637"/>
    <n v="280"/>
    <n v="233.00000000000003"/>
    <n v="277"/>
    <n v="0"/>
    <n v="0"/>
    <n v="0"/>
    <n v="145"/>
    <n v="195"/>
    <n v="15"/>
    <n v="45"/>
    <n v="277"/>
    <n v="35.665236051502141"/>
    <n v="207.5"/>
    <n v="50"/>
    <n v="0"/>
    <n v="0"/>
    <n v="18.283261802575105"/>
    <n v="0"/>
    <n v="23268484.333333299"/>
    <n v="33297320"/>
    <n v="27708127.000000004"/>
    <n v="17243255"/>
    <n v="32940563"/>
    <n v="107622"/>
    <n v="0"/>
    <n v="21058037.99999997"/>
    <n v="30134160"/>
    <n v="25075926.000000004"/>
    <n v="15605190"/>
    <n v="29811294"/>
    <x v="0"/>
    <n v="-50"/>
    <n v="0"/>
    <n v="0"/>
    <n v="0"/>
  </r>
  <r>
    <n v="1484"/>
    <x v="8"/>
    <s v="PD8HDR05"/>
    <s v="HYDRABIO H2O 250ML"/>
    <x v="3"/>
    <n v="227027"/>
    <n v="172"/>
    <n v="283"/>
    <n v="202"/>
    <n v="237"/>
    <n v="8"/>
    <n v="0"/>
    <n v="0"/>
    <n v="152"/>
    <n v="210"/>
    <n v="15"/>
    <n v="45"/>
    <n v="245"/>
    <n v="36.386138613861384"/>
    <n v="189"/>
    <n v="58"/>
    <n v="0"/>
    <n v="0"/>
    <n v="16.93069306930693"/>
    <n v="0"/>
    <n v="39048644"/>
    <n v="64248641"/>
    <n v="45859454"/>
    <n v="34508104"/>
    <n v="55621615"/>
    <n v="205459"/>
    <n v="0"/>
    <n v="35338948"/>
    <n v="58144897"/>
    <n v="41502718"/>
    <n v="31229768"/>
    <n v="50337455"/>
    <x v="0"/>
    <n v="-58"/>
    <n v="0"/>
    <n v="0"/>
    <n v="0"/>
  </r>
  <r>
    <n v="1485"/>
    <x v="8"/>
    <s v="PD8PGTS1"/>
    <s v="PHOTODERM SPOT-AGE SPF50+ T40ML"/>
    <x v="2"/>
    <n v="284685"/>
    <n v="42.333333333333599"/>
    <n v="315"/>
    <n v="139"/>
    <n v="8440"/>
    <n v="0"/>
    <n v="0"/>
    <n v="2712"/>
    <n v="142"/>
    <n v="400"/>
    <n v="128"/>
    <n v="45"/>
    <n v="11152"/>
    <n v="2406.906474820144"/>
    <n v="0"/>
    <n v="0"/>
    <n v="0"/>
    <n v="0"/>
    <n v="2369.5683453237411"/>
    <n v="0"/>
    <n v="12051665.000000076"/>
    <n v="89675775"/>
    <n v="39571215"/>
    <n v="40425270"/>
    <n v="3174807120"/>
    <n v="257640"/>
    <n v="0"/>
    <n v="10906760.000000069"/>
    <n v="81156600"/>
    <n v="35811960"/>
    <n v="36584880"/>
    <n v="2873201280"/>
    <x v="0"/>
    <n v="0"/>
    <n v="0"/>
    <n v="0"/>
    <n v="67"/>
  </r>
  <r>
    <n v="1486"/>
    <x v="8"/>
    <s v="PD8SBBL1"/>
    <s v="SEBIUM LOTION 200ML"/>
    <x v="1"/>
    <n v="241441"/>
    <n v="29.333333333333002"/>
    <n v="62"/>
    <n v="43.333333333333336"/>
    <n v="2577"/>
    <n v="12"/>
    <n v="0"/>
    <n v="600"/>
    <n v="15"/>
    <n v="51"/>
    <n v="24"/>
    <n v="45"/>
    <n v="3189"/>
    <n v="2207.7692307692305"/>
    <n v="0"/>
    <n v="0"/>
    <n v="0"/>
    <n v="0"/>
    <n v="2175.2307692307695"/>
    <n v="0"/>
    <n v="7082269.3333332529"/>
    <n v="14969342"/>
    <n v="10462443.333333334"/>
    <n v="3621615"/>
    <n v="769955349"/>
    <n v="218505"/>
    <n v="0"/>
    <n v="6409479.9999999274"/>
    <n v="13547310"/>
    <n v="9468550"/>
    <n v="3277575"/>
    <n v="696812445"/>
    <x v="0"/>
    <n v="0"/>
    <n v="0"/>
    <n v="0"/>
    <n v="0"/>
  </r>
  <r>
    <n v="1487"/>
    <x v="8"/>
    <s v="PD8SBGT7"/>
    <s v="SEBIUM H2O 500ML (PUMP)"/>
    <x v="1"/>
    <n v="299099"/>
    <n v="0"/>
    <n v="0"/>
    <n v="0"/>
    <n v="1702"/>
    <n v="0"/>
    <n v="0"/>
    <n v="300"/>
    <n v="0"/>
    <n v="0"/>
    <n v="12"/>
    <n v="45"/>
    <n v="2002"/>
    <n v="9999"/>
    <n v="0"/>
    <n v="0"/>
    <n v="0"/>
    <n v="0"/>
    <n v="9999"/>
    <n v="0"/>
    <n v="0"/>
    <n v="0"/>
    <n v="0"/>
    <n v="0"/>
    <n v="598796198"/>
    <n v="270685"/>
    <n v="0"/>
    <n v="0"/>
    <n v="0"/>
    <n v="0"/>
    <n v="0"/>
    <n v="541911370"/>
    <x v="0"/>
    <n v="0"/>
    <n v="0"/>
    <n v="0"/>
    <n v="0"/>
  </r>
  <r>
    <n v="1488"/>
    <x v="8"/>
    <s v="PD8SBGTK"/>
    <s v="SENSIBIO H2O 500ML (PUMP)"/>
    <x v="3"/>
    <n v="327928"/>
    <n v="112.33333333333296"/>
    <n v="74"/>
    <n v="94.666666666666657"/>
    <n v="95"/>
    <n v="0"/>
    <n v="0"/>
    <n v="3"/>
    <n v="48"/>
    <n v="72"/>
    <n v="12"/>
    <n v="45"/>
    <n v="98"/>
    <n v="31.056338028169019"/>
    <n v="70"/>
    <n v="21"/>
    <n v="0"/>
    <n v="0"/>
    <n v="22.816901408450708"/>
    <n v="0"/>
    <n v="36837245.333333209"/>
    <n v="24266672"/>
    <n v="31043850.666666664"/>
    <n v="15740544"/>
    <n v="32136944"/>
    <n v="296775"/>
    <n v="0"/>
    <n v="33337724.999999888"/>
    <n v="21961350"/>
    <n v="28094699.999999996"/>
    <n v="14245200"/>
    <n v="29083950"/>
    <x v="0"/>
    <n v="-21"/>
    <n v="9"/>
    <n v="9"/>
    <n v="45"/>
  </r>
  <r>
    <n v="1489"/>
    <x v="8"/>
    <s v="PD8SBM02"/>
    <s v="SEBIUM GEL MOUSSANT FOAM GEL 100ML"/>
    <x v="2"/>
    <n v="136937"/>
    <n v="106.666666666667"/>
    <n v="168"/>
    <n v="127.33333333333333"/>
    <n v="115"/>
    <n v="0"/>
    <n v="0"/>
    <n v="9"/>
    <n v="137"/>
    <n v="205"/>
    <n v="50"/>
    <n v="45"/>
    <n v="124"/>
    <n v="29.214659685863875"/>
    <n v="98"/>
    <n v="59"/>
    <n v="0"/>
    <n v="0"/>
    <n v="21.910994764397905"/>
    <n v="0"/>
    <n v="14606613.333333379"/>
    <n v="23005416"/>
    <n v="17436644.666666664"/>
    <n v="18760369"/>
    <n v="16980188"/>
    <n v="123928"/>
    <n v="0"/>
    <n v="13218986.666666707"/>
    <n v="20819904"/>
    <n v="15780165.333333332"/>
    <n v="16978136"/>
    <n v="15367072"/>
    <x v="0"/>
    <n v="-59"/>
    <n v="29"/>
    <n v="39"/>
    <n v="44"/>
  </r>
  <r>
    <n v="1490"/>
    <x v="8"/>
    <s v="PD8SBM03"/>
    <s v="SEBIUM GEL MOUSSANT FOAM GEL 200ML"/>
    <x v="3"/>
    <n v="234234"/>
    <n v="65.333333333332604"/>
    <n v="212"/>
    <n v="97.666666666666671"/>
    <n v="16"/>
    <n v="0"/>
    <n v="10"/>
    <n v="3"/>
    <n v="0"/>
    <n v="265"/>
    <n v="15"/>
    <n v="45"/>
    <n v="19"/>
    <n v="5.8361774744027297"/>
    <n v="339.5"/>
    <n v="272"/>
    <n v="120"/>
    <n v="120"/>
    <n v="0"/>
    <n v="28108080"/>
    <n v="15303287.999999829"/>
    <n v="49657608"/>
    <n v="22876854"/>
    <n v="0"/>
    <n v="4450446"/>
    <n v="211982"/>
    <n v="25437840"/>
    <n v="13849490.666666511"/>
    <n v="44940184"/>
    <n v="20703575.333333336"/>
    <n v="0"/>
    <n v="4027658"/>
    <x v="0"/>
    <n v="-152"/>
    <n v="187"/>
    <n v="227"/>
    <n v="267"/>
  </r>
  <r>
    <n v="1491"/>
    <x v="8"/>
    <s v="PD8SBM05"/>
    <s v="SEBIUM H2O 100ML"/>
    <x v="3"/>
    <n v="118919"/>
    <n v="106.333333333333"/>
    <n v="322"/>
    <n v="153.33333333333334"/>
    <n v="413"/>
    <n v="0"/>
    <n v="0"/>
    <n v="6"/>
    <n v="145"/>
    <n v="150"/>
    <n v="15"/>
    <n v="45"/>
    <n v="419"/>
    <n v="81.978260869565204"/>
    <n v="0"/>
    <n v="0"/>
    <n v="0"/>
    <n v="0"/>
    <n v="47.347826086956523"/>
    <n v="0"/>
    <n v="12645053.666666627"/>
    <n v="38291918"/>
    <n v="18234246.666666668"/>
    <n v="17243255"/>
    <n v="49827061"/>
    <n v="107622"/>
    <n v="0"/>
    <n v="11443805.999999965"/>
    <n v="34654284"/>
    <n v="16502040.000000002"/>
    <n v="15605190"/>
    <n v="45093618"/>
    <x v="0"/>
    <n v="0"/>
    <n v="0"/>
    <n v="0"/>
    <n v="0"/>
  </r>
  <r>
    <n v="1492"/>
    <x v="8"/>
    <s v="PD8SBM06"/>
    <s v="SEBIUM H2O 250ML"/>
    <x v="2"/>
    <n v="227027"/>
    <n v="102.33333333333331"/>
    <n v="163"/>
    <n v="122.66666666666669"/>
    <n v="173"/>
    <n v="8"/>
    <n v="0"/>
    <n v="3"/>
    <n v="82"/>
    <n v="120"/>
    <n v="15"/>
    <n v="45"/>
    <n v="184"/>
    <n v="44.999999999999993"/>
    <n v="81"/>
    <n v="35"/>
    <n v="0"/>
    <n v="0"/>
    <n v="25.190217391304344"/>
    <n v="0"/>
    <n v="23232429.666666664"/>
    <n v="37005401"/>
    <n v="27848645.333333336"/>
    <n v="18616214"/>
    <n v="41772968"/>
    <n v="205459"/>
    <n v="0"/>
    <n v="21025304.333333328"/>
    <n v="33489817"/>
    <n v="25202970.666666672"/>
    <n v="16847638"/>
    <n v="37804456"/>
    <x v="0"/>
    <n v="-35"/>
    <n v="0"/>
    <n v="20"/>
    <n v="50"/>
  </r>
  <r>
    <n v="1493"/>
    <x v="8"/>
    <s v="PD8SBM07"/>
    <s v="SEBIUM H2O 500ML"/>
    <x v="3"/>
    <n v="327928"/>
    <n v="91"/>
    <n v="129"/>
    <n v="90.333333333333343"/>
    <n v="71"/>
    <n v="0"/>
    <n v="32"/>
    <n v="3"/>
    <n v="66"/>
    <n v="144"/>
    <n v="12"/>
    <n v="45"/>
    <n v="74"/>
    <n v="24.575645756457561"/>
    <n v="124.5"/>
    <n v="107"/>
    <n v="50"/>
    <n v="48"/>
    <n v="19.594095940959406"/>
    <n v="15740544"/>
    <n v="29841448"/>
    <n v="42302712"/>
    <n v="29622829.333333336"/>
    <n v="21643248"/>
    <n v="24266672"/>
    <n v="296775"/>
    <n v="14245200"/>
    <n v="27006525"/>
    <n v="38283975"/>
    <n v="26808675.000000004"/>
    <n v="19587150"/>
    <n v="21961350"/>
    <x v="0"/>
    <n v="-59"/>
    <n v="3"/>
    <n v="45"/>
    <n v="69"/>
  </r>
  <r>
    <n v="1494"/>
    <x v="8"/>
    <s v="PD8SBM08"/>
    <s v="SEBIUM HYDRA 40ML"/>
    <x v="3"/>
    <n v="216216"/>
    <n v="177.6666666666643"/>
    <n v="155"/>
    <n v="172.99999999999994"/>
    <n v="162"/>
    <n v="0"/>
    <n v="0"/>
    <n v="52"/>
    <n v="192"/>
    <n v="292"/>
    <n v="128"/>
    <n v="45"/>
    <n v="214"/>
    <n v="37.109826589595386"/>
    <n v="8.4999999999998863"/>
    <n v="48"/>
    <n v="0"/>
    <n v="0"/>
    <n v="43.526011560693661"/>
    <n v="0"/>
    <n v="38414375.999999486"/>
    <n v="33513480"/>
    <n v="37405367.999999985"/>
    <n v="41513472"/>
    <n v="46270224"/>
    <n v="195676"/>
    <n v="0"/>
    <n v="34765102.666666202"/>
    <n v="30329780"/>
    <n v="33851947.999999993"/>
    <n v="37569792"/>
    <n v="41874664"/>
    <x v="0"/>
    <n v="-48"/>
    <n v="0"/>
    <n v="0"/>
    <n v="0"/>
  </r>
  <r>
    <n v="1495"/>
    <x v="8"/>
    <s v="PD8SBM09"/>
    <s v="SEBIUM PORE REFINER 30ML"/>
    <x v="1"/>
    <n v="248649"/>
    <n v="0"/>
    <n v="0"/>
    <n v="0"/>
    <n v="0"/>
    <n v="0"/>
    <n v="0"/>
    <n v="0"/>
    <n v="0"/>
    <n v="0"/>
    <n v="160"/>
    <n v="45"/>
    <n v="0"/>
    <n v="0"/>
    <n v="0"/>
    <n v="0"/>
    <n v="0"/>
    <n v="0"/>
    <n v="0"/>
    <n v="0"/>
    <n v="0"/>
    <n v="0"/>
    <n v="0"/>
    <n v="0"/>
    <n v="0"/>
    <n v="225027"/>
    <n v="0"/>
    <n v="0"/>
    <n v="0"/>
    <n v="0"/>
    <n v="0"/>
    <n v="0"/>
    <x v="0"/>
    <n v="0"/>
    <n v="0"/>
    <n v="0"/>
    <n v="0"/>
  </r>
  <r>
    <n v="1496"/>
    <x v="8"/>
    <s v="PD8SBMST"/>
    <s v="SEBIUM SENSITIVE TE30ML"/>
    <x v="1"/>
    <n v="288288"/>
    <n v="4.3333333333333695"/>
    <n v="13"/>
    <n v="4.666666666666667"/>
    <n v="1653"/>
    <n v="0"/>
    <n v="0"/>
    <n v="0"/>
    <n v="0"/>
    <n v="10"/>
    <n v="160"/>
    <n v="45"/>
    <n v="1653"/>
    <n v="9999"/>
    <n v="0"/>
    <n v="10"/>
    <n v="0"/>
    <n v="0"/>
    <n v="10542.857142857141"/>
    <n v="0"/>
    <n v="1249248.0000000105"/>
    <n v="3747744"/>
    <n v="1345344"/>
    <n v="0"/>
    <n v="476540064"/>
    <n v="260901"/>
    <n v="0"/>
    <n v="1130571.0000000093"/>
    <n v="3391713"/>
    <n v="1217538"/>
    <n v="0"/>
    <n v="431269353"/>
    <x v="0"/>
    <n v="-10"/>
    <n v="2"/>
    <n v="7"/>
    <n v="7"/>
  </r>
  <r>
    <n v="1497"/>
    <x v="8"/>
    <s v="PD8SSB02"/>
    <s v="SENSIBIO FORTE  40ML"/>
    <x v="3"/>
    <n v="237838"/>
    <n v="1015.6666666666667"/>
    <n v="1671"/>
    <n v="754"/>
    <n v="3355"/>
    <n v="112"/>
    <n v="0"/>
    <n v="1951"/>
    <n v="0"/>
    <n v="128"/>
    <n v="128"/>
    <n v="45"/>
    <n v="5418"/>
    <n v="215.57029177718832"/>
    <n v="0"/>
    <n v="0"/>
    <n v="0"/>
    <n v="0"/>
    <n v="149.08488063660479"/>
    <n v="0"/>
    <n v="241564128.66666669"/>
    <n v="397427298"/>
    <n v="179329852"/>
    <n v="0"/>
    <n v="1288606284"/>
    <n v="215243"/>
    <n v="0"/>
    <n v="218615140.33333334"/>
    <n v="359671053"/>
    <n v="162293222"/>
    <n v="0"/>
    <n v="1166186574"/>
    <x v="0"/>
    <n v="0"/>
    <n v="0"/>
    <n v="0"/>
    <n v="0"/>
  </r>
  <r>
    <n v="1498"/>
    <x v="8"/>
    <s v="PD8SSB03"/>
    <s v="SENSIBIO GEL MOUSSANT 200ML"/>
    <x v="3"/>
    <n v="234234"/>
    <n v="164.0000000000004"/>
    <n v="247"/>
    <n v="184"/>
    <n v="305"/>
    <n v="0"/>
    <n v="0"/>
    <n v="7"/>
    <n v="130"/>
    <n v="135"/>
    <n v="15"/>
    <n v="45"/>
    <n v="312"/>
    <n v="50.869565217391305"/>
    <n v="81"/>
    <n v="0"/>
    <n v="0"/>
    <n v="0"/>
    <n v="31.793478260869563"/>
    <n v="0"/>
    <n v="38414376.000000097"/>
    <n v="57855798"/>
    <n v="43099056"/>
    <n v="30450420"/>
    <n v="73081008"/>
    <n v="211982"/>
    <n v="0"/>
    <n v="34765048.000000082"/>
    <n v="52359554"/>
    <n v="39004688"/>
    <n v="27557660"/>
    <n v="66138384"/>
    <x v="0"/>
    <n v="0"/>
    <n v="0"/>
    <n v="8"/>
    <n v="43"/>
  </r>
  <r>
    <n v="1499"/>
    <x v="8"/>
    <s v="PD8SSB04"/>
    <s v="SENSIBIO H2O 100ML"/>
    <x v="3"/>
    <n v="118919"/>
    <n v="1172.3333333333305"/>
    <n v="860"/>
    <n v="1012.3333333333334"/>
    <n v="1236"/>
    <n v="60"/>
    <n v="0"/>
    <n v="49"/>
    <n v="156"/>
    <n v="315"/>
    <n v="15"/>
    <n v="45"/>
    <n v="1345"/>
    <n v="39.858412907474481"/>
    <n v="877.5"/>
    <n v="110"/>
    <n v="0"/>
    <n v="0"/>
    <n v="18.995719459993413"/>
    <n v="0"/>
    <n v="139412707.66666633"/>
    <n v="102270340"/>
    <n v="120385667.66666667"/>
    <n v="18551364"/>
    <n v="159946055"/>
    <n v="107622"/>
    <n v="0"/>
    <n v="126168857.9999997"/>
    <n v="92554920"/>
    <n v="108949338"/>
    <n v="16789032"/>
    <n v="144751590"/>
    <x v="0"/>
    <n v="-110"/>
    <n v="10"/>
    <n v="55"/>
    <n v="145"/>
  </r>
  <r>
    <n v="1500"/>
    <x v="8"/>
    <s v="PD8SSB05"/>
    <s v="SENSIBIO H2O 250ML"/>
    <x v="3"/>
    <n v="227027"/>
    <n v="793.99999999999534"/>
    <n v="656"/>
    <n v="755"/>
    <n v="723"/>
    <n v="20"/>
    <n v="0"/>
    <n v="63"/>
    <n v="239"/>
    <n v="420"/>
    <n v="15"/>
    <n v="45"/>
    <n v="806"/>
    <n v="32.026490066225165"/>
    <n v="743.5"/>
    <n v="118"/>
    <n v="0"/>
    <n v="0"/>
    <n v="15.456953642384107"/>
    <n v="0"/>
    <n v="180259437.99999893"/>
    <n v="148929712"/>
    <n v="171405385"/>
    <n v="54259453"/>
    <n v="182983762"/>
    <n v="205459"/>
    <n v="0"/>
    <n v="163134445.99999905"/>
    <n v="134781104"/>
    <n v="155121545"/>
    <n v="49104701"/>
    <n v="165599954"/>
    <x v="0"/>
    <n v="-118"/>
    <n v="0"/>
    <n v="83"/>
    <n v="143"/>
  </r>
  <r>
    <n v="1501"/>
    <x v="8"/>
    <s v="PD8SSB06"/>
    <s v="SENSIBIO H2O 500ML"/>
    <x v="3"/>
    <n v="327928"/>
    <n v="363.66666666666561"/>
    <n v="411"/>
    <n v="392.33333333333337"/>
    <n v="406"/>
    <n v="24"/>
    <n v="0"/>
    <n v="42"/>
    <n v="189"/>
    <n v="300"/>
    <n v="12"/>
    <n v="45"/>
    <n v="472"/>
    <n v="36.091758708581139"/>
    <n v="338.5"/>
    <n v="69"/>
    <n v="0"/>
    <n v="0"/>
    <n v="19.116397621070515"/>
    <n v="0"/>
    <n v="119256482.66666631"/>
    <n v="134778408"/>
    <n v="128657085.33333334"/>
    <n v="61978392"/>
    <n v="154782016"/>
    <n v="296775"/>
    <n v="0"/>
    <n v="107927174.99999969"/>
    <n v="121974525"/>
    <n v="116434725.00000001"/>
    <n v="56090475"/>
    <n v="140077800"/>
    <x v="0"/>
    <n v="-69"/>
    <n v="0"/>
    <n v="33"/>
    <n v="129"/>
  </r>
  <r>
    <n v="1502"/>
    <x v="8"/>
    <s v="PD8SSB09"/>
    <s v="SENSIBIO TONIQUE 250ML"/>
    <x v="2"/>
    <n v="227027"/>
    <n v="23.3333333333333"/>
    <n v="25"/>
    <n v="26.666666666666664"/>
    <n v="1569"/>
    <n v="6"/>
    <n v="0"/>
    <n v="0"/>
    <n v="0"/>
    <n v="30"/>
    <n v="15"/>
    <n v="45"/>
    <n v="1575"/>
    <n v="1771.8750000000002"/>
    <n v="0"/>
    <n v="30"/>
    <n v="0"/>
    <n v="0"/>
    <n v="1743.7500000000002"/>
    <n v="0"/>
    <n v="5297296.6666666595"/>
    <n v="5675675"/>
    <n v="6054053.333333333"/>
    <n v="0"/>
    <n v="357567525"/>
    <n v="205459"/>
    <n v="0"/>
    <n v="4794043.3333333265"/>
    <n v="5136475"/>
    <n v="5478906.666666666"/>
    <n v="0"/>
    <n v="323597925"/>
    <x v="0"/>
    <n v="-30"/>
    <n v="0"/>
    <n v="0"/>
    <n v="0"/>
  </r>
  <r>
    <n v="1503"/>
    <x v="8"/>
    <s v="PD8SSBGM"/>
    <s v="SENSIBIO GEL MOUSSANT 100ML"/>
    <x v="3"/>
    <n v="136937"/>
    <n v="155.66666666666677"/>
    <n v="241"/>
    <n v="165"/>
    <n v="309"/>
    <n v="65"/>
    <n v="0"/>
    <n v="0"/>
    <n v="145"/>
    <n v="130"/>
    <n v="50"/>
    <n v="45"/>
    <n v="374"/>
    <n v="68"/>
    <n v="0"/>
    <n v="0"/>
    <n v="0"/>
    <n v="0"/>
    <n v="50.545454545454547"/>
    <n v="0"/>
    <n v="21316526.333333347"/>
    <n v="33001817"/>
    <n v="22594605"/>
    <n v="19855865"/>
    <n v="51214438"/>
    <n v="123928"/>
    <n v="0"/>
    <n v="19291458.666666679"/>
    <n v="29866648"/>
    <n v="20448120"/>
    <n v="17969560"/>
    <n v="46349072"/>
    <x v="0"/>
    <n v="0"/>
    <n v="0"/>
    <n v="0"/>
    <n v="0"/>
  </r>
  <r>
    <n v="1504"/>
    <x v="9"/>
    <s v="PE300001"/>
    <s v="KUNYIT ASAM"/>
    <x v="3"/>
    <n v="6750"/>
    <n v="18.3333333333333"/>
    <n v="34"/>
    <n v="16"/>
    <n v="16"/>
    <n v="0"/>
    <n v="480"/>
    <n v="81"/>
    <n v="480"/>
    <n v="0"/>
    <n v="40"/>
    <n v="60"/>
    <n v="97"/>
    <n v="181.875"/>
    <n v="0"/>
    <n v="0"/>
    <n v="0"/>
    <n v="0"/>
    <n v="1018.125"/>
    <n v="0"/>
    <n v="123749.99999999978"/>
    <n v="229500"/>
    <n v="108000"/>
    <n v="3240000"/>
    <n v="654750"/>
    <n v="6075"/>
    <n v="0"/>
    <n v="111374.9999999998"/>
    <n v="206550"/>
    <n v="97200"/>
    <n v="2916000"/>
    <n v="589275"/>
    <x v="0"/>
    <n v="0"/>
    <n v="0"/>
    <n v="0"/>
    <n v="0"/>
  </r>
  <r>
    <n v="1505"/>
    <x v="9"/>
    <s v="PE300002"/>
    <s v="SM SARI KULIT MANGGIS"/>
    <x v="2"/>
    <n v="58176"/>
    <n v="4.6666666666666305"/>
    <n v="7"/>
    <n v="3"/>
    <n v="9"/>
    <n v="0"/>
    <n v="10"/>
    <n v="1"/>
    <n v="0"/>
    <n v="0"/>
    <n v="50"/>
    <n v="60"/>
    <n v="10"/>
    <n v="100"/>
    <n v="3"/>
    <n v="9"/>
    <n v="9"/>
    <n v="0"/>
    <n v="30"/>
    <n v="0"/>
    <n v="271487.9999999979"/>
    <n v="407232"/>
    <n v="174528"/>
    <n v="0"/>
    <n v="581760"/>
    <n v="52358.400000000001"/>
    <n v="0"/>
    <n v="244339.19999999812"/>
    <n v="366508.79999999999"/>
    <n v="157075.20000000001"/>
    <n v="0"/>
    <n v="523584"/>
    <x v="0"/>
    <n v="-9"/>
    <n v="0"/>
    <n v="0"/>
    <n v="0"/>
  </r>
  <r>
    <n v="1506"/>
    <x v="9"/>
    <s v="PE300003"/>
    <s v="KUKU BIMA TL FORMULA B PLUS TRIBLS"/>
    <x v="1"/>
    <n v="116370"/>
    <n v="0"/>
    <n v="0"/>
    <n v="0"/>
    <n v="4"/>
    <n v="0"/>
    <n v="0"/>
    <n v="0"/>
    <n v="0"/>
    <n v="0"/>
    <n v="50"/>
    <n v="60"/>
    <n v="4"/>
    <n v="9999"/>
    <n v="0"/>
    <n v="0"/>
    <n v="0"/>
    <n v="0"/>
    <n v="9999"/>
    <n v="0"/>
    <n v="0"/>
    <n v="0"/>
    <n v="0"/>
    <n v="0"/>
    <n v="465480"/>
    <n v="104733"/>
    <n v="0"/>
    <n v="0"/>
    <n v="0"/>
    <n v="0"/>
    <n v="0"/>
    <n v="418932"/>
    <x v="0"/>
    <n v="0"/>
    <n v="0"/>
    <n v="0"/>
    <n v="0"/>
  </r>
  <r>
    <n v="1507"/>
    <x v="9"/>
    <s v="PE300004"/>
    <s v="RED GINSENG"/>
    <x v="1"/>
    <n v="107505"/>
    <n v="1.3333333333333299"/>
    <n v="1"/>
    <n v="1.3333333333333333"/>
    <n v="9"/>
    <n v="0"/>
    <n v="0"/>
    <n v="0"/>
    <n v="0"/>
    <n v="0"/>
    <n v="50"/>
    <n v="60"/>
    <n v="9"/>
    <n v="202.5"/>
    <n v="0"/>
    <n v="0"/>
    <n v="0"/>
    <n v="0"/>
    <n v="180"/>
    <n v="0"/>
    <n v="143339.99999999962"/>
    <n v="107505"/>
    <n v="143340"/>
    <n v="0"/>
    <n v="967545"/>
    <n v="96750"/>
    <n v="0"/>
    <n v="128999.99999999967"/>
    <n v="96750"/>
    <n v="129000"/>
    <n v="0"/>
    <n v="870750"/>
    <x v="0"/>
    <n v="0"/>
    <n v="0"/>
    <n v="0"/>
    <n v="0"/>
  </r>
  <r>
    <n v="1508"/>
    <x v="9"/>
    <s v="PE300005"/>
    <s v="SARI KUNYIT"/>
    <x v="3"/>
    <n v="58122"/>
    <n v="72.999999999999673"/>
    <n v="100"/>
    <n v="74.666666666666671"/>
    <n v="64"/>
    <n v="10"/>
    <n v="0"/>
    <n v="0"/>
    <n v="0"/>
    <n v="150"/>
    <n v="50"/>
    <n v="60"/>
    <n v="74"/>
    <n v="29.732142857142854"/>
    <n v="175.33333333333334"/>
    <n v="150"/>
    <n v="150"/>
    <n v="150"/>
    <n v="49.821428571428569"/>
    <n v="8718300"/>
    <n v="4242905.9999999814"/>
    <n v="5812200"/>
    <n v="4339776"/>
    <n v="0"/>
    <n v="4301028"/>
    <n v="52308"/>
    <n v="7846200"/>
    <n v="3818483.9999999828"/>
    <n v="5230800"/>
    <n v="3905664.0000000005"/>
    <n v="0"/>
    <n v="3870792"/>
    <x v="0"/>
    <n v="0"/>
    <n v="0"/>
    <n v="0"/>
    <n v="0"/>
  </r>
  <r>
    <n v="1509"/>
    <x v="9"/>
    <s v="PE300006"/>
    <s v="SARI TEMULAWAK"/>
    <x v="3"/>
    <n v="61803"/>
    <n v="9.9999999999999396"/>
    <n v="22"/>
    <n v="12"/>
    <n v="50"/>
    <n v="0"/>
    <n v="0"/>
    <n v="10"/>
    <n v="0"/>
    <n v="0"/>
    <n v="50"/>
    <n v="60"/>
    <n v="60"/>
    <n v="150"/>
    <n v="0"/>
    <n v="0"/>
    <n v="0"/>
    <n v="0"/>
    <n v="95"/>
    <n v="0"/>
    <n v="618029.99999999627"/>
    <n v="1359666"/>
    <n v="741636"/>
    <n v="0"/>
    <n v="3708180"/>
    <n v="55620"/>
    <n v="0"/>
    <n v="556199.99999999662"/>
    <n v="1223640"/>
    <n v="667440"/>
    <n v="0"/>
    <n v="3337200"/>
    <x v="0"/>
    <n v="0"/>
    <n v="0"/>
    <n v="0"/>
    <n v="0"/>
  </r>
  <r>
    <n v="1510"/>
    <x v="9"/>
    <s v="PE300007"/>
    <s v="JAHE MERAH"/>
    <x v="1"/>
    <n v="89388"/>
    <n v="0"/>
    <n v="0"/>
    <n v="0"/>
    <n v="0"/>
    <n v="0"/>
    <n v="0"/>
    <n v="0"/>
    <n v="0"/>
    <n v="0"/>
    <n v="50"/>
    <n v="60"/>
    <n v="0"/>
    <n v="0"/>
    <n v="0"/>
    <n v="0"/>
    <n v="0"/>
    <n v="0"/>
    <n v="0"/>
    <n v="0"/>
    <n v="0"/>
    <n v="0"/>
    <n v="0"/>
    <n v="0"/>
    <n v="0"/>
    <n v="80449"/>
    <n v="0"/>
    <n v="0"/>
    <n v="0"/>
    <n v="0"/>
    <n v="0"/>
    <n v="0"/>
    <x v="0"/>
    <n v="0"/>
    <n v="0"/>
    <n v="0"/>
    <n v="0"/>
  </r>
  <r>
    <n v="1511"/>
    <x v="9"/>
    <s v="PE300008"/>
    <s v="TOLAK ANGIN MINT SOFT CAPSULE"/>
    <x v="1"/>
    <n v="109919.7"/>
    <n v="1"/>
    <n v="0"/>
    <n v="1"/>
    <n v="0"/>
    <n v="0"/>
    <n v="0"/>
    <n v="0"/>
    <n v="0"/>
    <n v="0"/>
    <n v="50"/>
    <n v="60"/>
    <n v="0"/>
    <n v="0"/>
    <n v="2"/>
    <n v="0"/>
    <n v="0"/>
    <n v="0"/>
    <n v="0"/>
    <n v="0"/>
    <n v="109919.7"/>
    <n v="0"/>
    <n v="109919.7"/>
    <n v="0"/>
    <n v="0"/>
    <n v="99927"/>
    <n v="0"/>
    <n v="99927"/>
    <n v="0"/>
    <n v="99927"/>
    <n v="0"/>
    <n v="0"/>
    <x v="0"/>
    <n v="0"/>
    <n v="0"/>
    <n v="0"/>
    <n v="0"/>
  </r>
  <r>
    <n v="1512"/>
    <x v="9"/>
    <s v="PE300009"/>
    <s v="TOLAK LINU SOFT CAPSULE"/>
    <x v="1"/>
    <n v="105415.2"/>
    <n v="0"/>
    <n v="0"/>
    <n v="0"/>
    <n v="0"/>
    <n v="0"/>
    <n v="0"/>
    <n v="0"/>
    <n v="0"/>
    <n v="0"/>
    <n v="50"/>
    <n v="60"/>
    <n v="0"/>
    <n v="0"/>
    <n v="0"/>
    <n v="0"/>
    <n v="0"/>
    <n v="0"/>
    <n v="0"/>
    <n v="0"/>
    <n v="0"/>
    <n v="0"/>
    <n v="0"/>
    <n v="0"/>
    <n v="0"/>
    <n v="95832"/>
    <n v="0"/>
    <n v="0"/>
    <n v="0"/>
    <n v="0"/>
    <n v="0"/>
    <n v="0"/>
    <x v="0"/>
    <n v="0"/>
    <n v="0"/>
    <n v="0"/>
    <n v="0"/>
  </r>
  <r>
    <n v="1513"/>
    <x v="9"/>
    <s v="PE300010"/>
    <s v="SEHAT BERSALIN KAPSUL"/>
    <x v="1"/>
    <n v="173853"/>
    <n v="0.33333333333332998"/>
    <n v="0"/>
    <n v="0.33333333333333331"/>
    <n v="9"/>
    <n v="0"/>
    <n v="0"/>
    <n v="0"/>
    <n v="0"/>
    <n v="0"/>
    <n v="12"/>
    <n v="60"/>
    <n v="9"/>
    <n v="810"/>
    <n v="0"/>
    <n v="0"/>
    <n v="0"/>
    <n v="0"/>
    <n v="810"/>
    <n v="0"/>
    <n v="57950.999999999418"/>
    <n v="0"/>
    <n v="57951"/>
    <n v="0"/>
    <n v="1564677"/>
    <n v="156627"/>
    <n v="0"/>
    <n v="52208.999999999476"/>
    <n v="0"/>
    <n v="52209"/>
    <n v="0"/>
    <n v="1409643"/>
    <x v="0"/>
    <n v="0"/>
    <n v="0"/>
    <n v="0"/>
    <n v="0"/>
  </r>
  <r>
    <n v="1514"/>
    <x v="9"/>
    <s v="PE300011"/>
    <s v="LIBIDIONE"/>
    <x v="2"/>
    <n v="76320"/>
    <n v="10.6666666666667"/>
    <n v="19"/>
    <n v="10.333333333333334"/>
    <n v="73"/>
    <n v="0"/>
    <n v="0"/>
    <n v="0"/>
    <n v="0"/>
    <n v="0"/>
    <n v="50"/>
    <n v="60"/>
    <n v="73"/>
    <n v="211.93548387096774"/>
    <n v="0"/>
    <n v="0"/>
    <n v="0"/>
    <n v="0"/>
    <n v="156.7741935483871"/>
    <n v="0"/>
    <n v="814080.00000000256"/>
    <n v="1450080"/>
    <n v="788640"/>
    <n v="0"/>
    <n v="5571360"/>
    <n v="68688"/>
    <n v="0"/>
    <n v="732672.00000000233"/>
    <n v="1305072"/>
    <n v="709776"/>
    <n v="0"/>
    <n v="5014224"/>
    <x v="0"/>
    <n v="0"/>
    <n v="0"/>
    <n v="0"/>
    <n v="0"/>
  </r>
  <r>
    <n v="1515"/>
    <x v="9"/>
    <s v="PE300012"/>
    <s v="SARI KUNYIT PUTIH"/>
    <x v="3"/>
    <n v="54522"/>
    <n v="24.3333333333333"/>
    <n v="38"/>
    <n v="21"/>
    <n v="43"/>
    <n v="0"/>
    <n v="0"/>
    <n v="6"/>
    <n v="0"/>
    <n v="0"/>
    <n v="50"/>
    <n v="60"/>
    <n v="49"/>
    <n v="70"/>
    <n v="31"/>
    <n v="0"/>
    <n v="0"/>
    <n v="0"/>
    <n v="15.714285714285715"/>
    <n v="0"/>
    <n v="1326701.9999999981"/>
    <n v="2071836"/>
    <n v="1144962"/>
    <n v="0"/>
    <n v="2671578"/>
    <n v="49050"/>
    <n v="0"/>
    <n v="1193549.9999999984"/>
    <n v="1863900"/>
    <n v="1030050"/>
    <n v="0"/>
    <n v="2403450"/>
    <x v="0"/>
    <n v="0"/>
    <n v="0"/>
    <n v="0"/>
    <n v="0"/>
  </r>
  <r>
    <n v="1516"/>
    <x v="9"/>
    <s v="PE300013"/>
    <s v="HERBAMIX5"/>
    <x v="1"/>
    <n v="67185"/>
    <n v="0"/>
    <n v="4"/>
    <n v="1.3333333333333333"/>
    <n v="0"/>
    <n v="0"/>
    <n v="0"/>
    <n v="1"/>
    <n v="0"/>
    <n v="0"/>
    <n v="50"/>
    <n v="60"/>
    <n v="1"/>
    <n v="22.5"/>
    <n v="5.6666666666666661"/>
    <n v="0"/>
    <n v="0"/>
    <n v="0"/>
    <n v="0"/>
    <n v="0"/>
    <n v="0"/>
    <n v="268740"/>
    <n v="89580"/>
    <n v="0"/>
    <n v="67185"/>
    <n v="60467"/>
    <n v="0"/>
    <n v="0"/>
    <n v="241868"/>
    <n v="80622.666666666657"/>
    <n v="0"/>
    <n v="60467"/>
    <x v="0"/>
    <n v="0"/>
    <n v="0"/>
    <n v="0"/>
    <n v="0"/>
  </r>
  <r>
    <n v="1517"/>
    <x v="9"/>
    <s v="PE300014"/>
    <s v="SAMBILOTO"/>
    <x v="1"/>
    <n v="69102"/>
    <n v="5.9999999999999991"/>
    <n v="8"/>
    <n v="6.333333333333333"/>
    <n v="15"/>
    <n v="0"/>
    <n v="0"/>
    <n v="0"/>
    <n v="0"/>
    <n v="0"/>
    <n v="50"/>
    <n v="60"/>
    <n v="15"/>
    <n v="71.05263157894737"/>
    <n v="5.6666666666666643"/>
    <n v="0"/>
    <n v="5.6666666666666643"/>
    <n v="0"/>
    <n v="33.15789473684211"/>
    <n v="0"/>
    <n v="414611.99999999994"/>
    <n v="552816"/>
    <n v="437646"/>
    <n v="0"/>
    <n v="1036530"/>
    <n v="62191.8"/>
    <n v="0"/>
    <n v="373150.8"/>
    <n v="497534.4"/>
    <n v="393881.4"/>
    <n v="0"/>
    <n v="932877"/>
    <x v="0"/>
    <n v="0"/>
    <n v="0"/>
    <n v="0"/>
    <n v="0"/>
  </r>
  <r>
    <n v="1518"/>
    <x v="9"/>
    <s v="PE300015"/>
    <s v="SUPRASI"/>
    <x v="1"/>
    <n v="43659"/>
    <n v="3.00000000000006"/>
    <n v="3"/>
    <n v="4.9999999999999991"/>
    <n v="35"/>
    <n v="0"/>
    <n v="0"/>
    <n v="2"/>
    <n v="0"/>
    <n v="0"/>
    <n v="50"/>
    <n v="60"/>
    <n v="37"/>
    <n v="222.00000000000003"/>
    <n v="0"/>
    <n v="0"/>
    <n v="0"/>
    <n v="0"/>
    <n v="204.00000000000006"/>
    <n v="0"/>
    <n v="130977.00000000262"/>
    <n v="130977"/>
    <n v="218294.99999999997"/>
    <n v="0"/>
    <n v="1615383"/>
    <n v="39303"/>
    <n v="0"/>
    <n v="117909.00000000236"/>
    <n v="117909"/>
    <n v="196514.99999999997"/>
    <n v="0"/>
    <n v="1454211"/>
    <x v="0"/>
    <n v="0"/>
    <n v="0"/>
    <n v="0"/>
    <n v="0"/>
  </r>
  <r>
    <n v="1519"/>
    <x v="9"/>
    <s v="PE300016"/>
    <s v="GARLIC"/>
    <x v="3"/>
    <n v="50850"/>
    <n v="36.666666666666643"/>
    <n v="51"/>
    <n v="43.333333333333329"/>
    <n v="50"/>
    <n v="0"/>
    <n v="0"/>
    <n v="11"/>
    <n v="0"/>
    <n v="100"/>
    <n v="50"/>
    <n v="60"/>
    <n v="61"/>
    <n v="42.230769230769234"/>
    <n v="76.666666666666657"/>
    <n v="89"/>
    <n v="0"/>
    <n v="0"/>
    <n v="6.9230769230769234"/>
    <n v="0"/>
    <n v="1864499.9999999988"/>
    <n v="2593350"/>
    <n v="2203499.9999999995"/>
    <n v="0"/>
    <n v="3101850"/>
    <n v="45711"/>
    <n v="0"/>
    <n v="1676069.9999999988"/>
    <n v="2331261"/>
    <n v="1980809.9999999998"/>
    <n v="0"/>
    <n v="2788371"/>
    <x v="0"/>
    <n v="-89"/>
    <n v="39"/>
    <n v="39"/>
    <n v="39"/>
  </r>
  <r>
    <n v="1520"/>
    <x v="9"/>
    <s v="PE300017"/>
    <s v="ANAK SEHAT ANGGUR"/>
    <x v="2"/>
    <n v="6570"/>
    <n v="8.6666666666666696"/>
    <n v="14"/>
    <n v="11"/>
    <n v="69"/>
    <n v="0"/>
    <n v="0"/>
    <n v="20"/>
    <n v="0"/>
    <n v="0"/>
    <n v="20"/>
    <n v="60"/>
    <n v="89"/>
    <n v="242.72727272727275"/>
    <n v="0"/>
    <n v="0"/>
    <n v="0"/>
    <n v="0"/>
    <n v="204.54545454545456"/>
    <n v="0"/>
    <n v="56940.000000000022"/>
    <n v="91980"/>
    <n v="72270"/>
    <n v="0"/>
    <n v="584730"/>
    <n v="5850"/>
    <n v="0"/>
    <n v="50700.000000000015"/>
    <n v="81900"/>
    <n v="64350"/>
    <n v="0"/>
    <n v="520650"/>
    <x v="0"/>
    <n v="0"/>
    <n v="0"/>
    <n v="0"/>
    <n v="0"/>
  </r>
  <r>
    <n v="1521"/>
    <x v="9"/>
    <s v="PE300018"/>
    <s v="ANAK SEHAT STARWBERRY"/>
    <x v="2"/>
    <n v="6570"/>
    <n v="48.666666666666643"/>
    <n v="33"/>
    <n v="33.666666666666671"/>
    <n v="127"/>
    <n v="0"/>
    <n v="0"/>
    <n v="0"/>
    <n v="0"/>
    <n v="40"/>
    <n v="20"/>
    <n v="60"/>
    <n v="127"/>
    <n v="113.16831683168314"/>
    <n v="0"/>
    <n v="40"/>
    <n v="0"/>
    <n v="0"/>
    <n v="83.762376237623755"/>
    <n v="0"/>
    <n v="319739.99999999983"/>
    <n v="216810"/>
    <n v="221190.00000000003"/>
    <n v="0"/>
    <n v="834390"/>
    <n v="5850"/>
    <n v="0"/>
    <n v="284699.99999999988"/>
    <n v="193050"/>
    <n v="196950.00000000003"/>
    <n v="0"/>
    <n v="742950"/>
    <x v="0"/>
    <n v="-40"/>
    <n v="0"/>
    <n v="0"/>
    <n v="0"/>
  </r>
  <r>
    <n v="1522"/>
    <x v="9"/>
    <s v="PE300019"/>
    <s v="ANAK SEHAT COKLAT"/>
    <x v="2"/>
    <n v="6570"/>
    <n v="22.666666666666998"/>
    <n v="16"/>
    <n v="14.999999999999998"/>
    <n v="38"/>
    <n v="0"/>
    <n v="0"/>
    <n v="0"/>
    <n v="0"/>
    <n v="20"/>
    <n v="20"/>
    <n v="60"/>
    <n v="38"/>
    <n v="76.000000000000014"/>
    <n v="8"/>
    <n v="20"/>
    <n v="0"/>
    <n v="0"/>
    <n v="44"/>
    <n v="0"/>
    <n v="148920.00000000218"/>
    <n v="105120"/>
    <n v="98549.999999999985"/>
    <n v="0"/>
    <n v="249660"/>
    <n v="5850"/>
    <n v="0"/>
    <n v="132600.00000000195"/>
    <n v="93600"/>
    <n v="87749.999999999985"/>
    <n v="0"/>
    <n v="222300"/>
    <x v="0"/>
    <n v="-20"/>
    <n v="0"/>
    <n v="0"/>
    <n v="0"/>
  </r>
  <r>
    <n v="1523"/>
    <x v="9"/>
    <s v="PE300020"/>
    <s v="ANAK SEHAT JAMBU MERAH"/>
    <x v="2"/>
    <n v="6570"/>
    <n v="58.999999999999702"/>
    <n v="28"/>
    <n v="29"/>
    <n v="212"/>
    <n v="0"/>
    <n v="0"/>
    <n v="0"/>
    <n v="0"/>
    <n v="40"/>
    <n v="20"/>
    <n v="60"/>
    <n v="212"/>
    <n v="219.31034482758622"/>
    <n v="0"/>
    <n v="40"/>
    <n v="0"/>
    <n v="0"/>
    <n v="190.34482758620692"/>
    <n v="0"/>
    <n v="387629.99999999802"/>
    <n v="183960"/>
    <n v="190530"/>
    <n v="0"/>
    <n v="1392840"/>
    <n v="5850"/>
    <n v="0"/>
    <n v="345149.99999999825"/>
    <n v="163800"/>
    <n v="169650"/>
    <n v="0"/>
    <n v="1240200"/>
    <x v="0"/>
    <n v="-40"/>
    <n v="0"/>
    <n v="0"/>
    <n v="0"/>
  </r>
  <r>
    <n v="1524"/>
    <x v="9"/>
    <s v="PE300021"/>
    <s v="ANAK SEHAT JERUK"/>
    <x v="2"/>
    <n v="6570"/>
    <n v="56.666666666666927"/>
    <n v="7"/>
    <n v="55.999999999999993"/>
    <n v="218"/>
    <n v="0"/>
    <n v="0"/>
    <n v="0"/>
    <n v="0"/>
    <n v="0"/>
    <n v="20"/>
    <n v="60"/>
    <n v="218"/>
    <n v="116.78571428571429"/>
    <n v="0"/>
    <n v="0"/>
    <n v="0"/>
    <n v="0"/>
    <n v="113.03571428571429"/>
    <n v="0"/>
    <n v="372300.00000000169"/>
    <n v="45990"/>
    <n v="367919.99999999994"/>
    <n v="0"/>
    <n v="1432260"/>
    <n v="5850"/>
    <n v="0"/>
    <n v="331500.00000000151"/>
    <n v="40950"/>
    <n v="327599.99999999994"/>
    <n v="0"/>
    <n v="1275300"/>
    <x v="0"/>
    <n v="0"/>
    <n v="0"/>
    <n v="0"/>
    <n v="0"/>
  </r>
  <r>
    <n v="1525"/>
    <x v="9"/>
    <s v="PE300022"/>
    <s v="SARI KUNYIT PLUS BTL 50S"/>
    <x v="3"/>
    <n v="78714"/>
    <n v="17.000000000000043"/>
    <n v="35"/>
    <n v="23.666666666666668"/>
    <n v="58"/>
    <n v="0"/>
    <n v="0"/>
    <n v="0"/>
    <n v="0"/>
    <n v="0"/>
    <n v="50"/>
    <n v="60"/>
    <n v="58"/>
    <n v="73.521126760563376"/>
    <n v="24.333333333333343"/>
    <n v="0"/>
    <n v="0"/>
    <n v="0"/>
    <n v="29.154929577464788"/>
    <n v="0"/>
    <n v="1338138.0000000033"/>
    <n v="2754990"/>
    <n v="1862898"/>
    <n v="0"/>
    <n v="4565412"/>
    <n v="70839"/>
    <n v="0"/>
    <n v="1204263.000000003"/>
    <n v="2479365"/>
    <n v="1676523"/>
    <n v="0"/>
    <n v="4108662"/>
    <x v="0"/>
    <n v="0"/>
    <n v="0"/>
    <n v="0"/>
    <n v="0"/>
  </r>
  <r>
    <n v="1526"/>
    <x v="9"/>
    <s v="PE300023"/>
    <s v="SARI DAUN KELOR 50KAPS"/>
    <x v="3"/>
    <n v="58122"/>
    <n v="27.333333333333343"/>
    <n v="43"/>
    <n v="25.333333333333336"/>
    <n v="64"/>
    <n v="0"/>
    <n v="0"/>
    <n v="3"/>
    <n v="0"/>
    <n v="50"/>
    <n v="50"/>
    <n v="60"/>
    <n v="67"/>
    <n v="79.34210526315789"/>
    <n v="26.666666666666671"/>
    <n v="47"/>
    <n v="0"/>
    <n v="0"/>
    <n v="28.421052631578945"/>
    <n v="0"/>
    <n v="1588668.0000000005"/>
    <n v="2499246"/>
    <n v="1472424.0000000002"/>
    <n v="0"/>
    <n v="3894174"/>
    <n v="52317"/>
    <n v="0"/>
    <n v="1429998.0000000005"/>
    <n v="2249631"/>
    <n v="1325364.0000000002"/>
    <n v="0"/>
    <n v="3505239"/>
    <x v="0"/>
    <n v="-47"/>
    <n v="0"/>
    <n v="0"/>
    <n v="0"/>
  </r>
  <r>
    <n v="1527"/>
    <x v="9"/>
    <s v="PE300024"/>
    <s v="FATRAPER 30KAPS"/>
    <x v="1"/>
    <n v="45090"/>
    <n v="3.9999999999999702"/>
    <n v="16"/>
    <n v="6.6666666666666661"/>
    <n v="16"/>
    <n v="0"/>
    <n v="0"/>
    <n v="3"/>
    <n v="20"/>
    <n v="0"/>
    <n v="50"/>
    <n v="60"/>
    <n v="19"/>
    <n v="85.5"/>
    <n v="0"/>
    <n v="0"/>
    <n v="0"/>
    <n v="0"/>
    <n v="103.5"/>
    <n v="0"/>
    <n v="180359.99999999866"/>
    <n v="721440"/>
    <n v="300600"/>
    <n v="901800"/>
    <n v="856710"/>
    <n v="40581"/>
    <n v="0"/>
    <n v="162323.99999999881"/>
    <n v="649296"/>
    <n v="270540"/>
    <n v="811620"/>
    <n v="771039"/>
    <x v="0"/>
    <n v="0"/>
    <n v="0"/>
    <n v="0"/>
    <n v="0"/>
  </r>
  <r>
    <n v="1528"/>
    <x v="9"/>
    <s v="PE300025"/>
    <s v="GINKGO BILOBA 30KAPS"/>
    <x v="3"/>
    <n v="61803"/>
    <n v="86.66666666666633"/>
    <n v="157"/>
    <n v="99.333333333333329"/>
    <n v="326"/>
    <n v="0"/>
    <n v="0"/>
    <n v="0"/>
    <n v="0"/>
    <n v="50"/>
    <n v="50"/>
    <n v="60"/>
    <n v="326"/>
    <n v="98.456375838926178"/>
    <n v="29.666666666666629"/>
    <n v="50"/>
    <n v="0"/>
    <n v="0"/>
    <n v="51.040268456375841"/>
    <n v="0"/>
    <n v="5356259.9999999795"/>
    <n v="9703071"/>
    <n v="6139098"/>
    <n v="0"/>
    <n v="20147778"/>
    <n v="55620"/>
    <n v="0"/>
    <n v="4820399.9999999814"/>
    <n v="8732340"/>
    <n v="5524920"/>
    <n v="0"/>
    <n v="18132120"/>
    <x v="0"/>
    <n v="-50"/>
    <n v="0"/>
    <n v="0"/>
    <n v="0"/>
  </r>
  <r>
    <n v="1529"/>
    <x v="9"/>
    <s v="PE300026"/>
    <s v="RICASID 30KAPS"/>
    <x v="2"/>
    <n v="61830"/>
    <n v="12.99999999999994"/>
    <n v="10"/>
    <n v="9.3333333333333339"/>
    <n v="12"/>
    <n v="0"/>
    <n v="0"/>
    <n v="0"/>
    <n v="0"/>
    <n v="0"/>
    <n v="50"/>
    <n v="60"/>
    <n v="12"/>
    <n v="38.571428571428569"/>
    <n v="16.666666666666668"/>
    <n v="0"/>
    <n v="0"/>
    <n v="0"/>
    <n v="6.4285714285714279"/>
    <n v="0"/>
    <n v="803789.99999999627"/>
    <n v="618300"/>
    <n v="577080"/>
    <n v="0"/>
    <n v="741960"/>
    <n v="55647"/>
    <n v="0"/>
    <n v="723410.99999999662"/>
    <n v="556470"/>
    <n v="519372.00000000006"/>
    <n v="0"/>
    <n v="667764"/>
    <x v="0"/>
    <n v="0"/>
    <n v="0"/>
    <n v="0"/>
    <n v="0"/>
  </r>
  <r>
    <n v="1530"/>
    <x v="9"/>
    <s v="PE300027"/>
    <s v="CELERY 30 KAP"/>
    <x v="1"/>
    <n v="65421"/>
    <n v="1"/>
    <n v="1"/>
    <n v="1.3333333333333333"/>
    <n v="4"/>
    <n v="0"/>
    <n v="0"/>
    <n v="12"/>
    <n v="0"/>
    <n v="0"/>
    <n v="1"/>
    <n v="60"/>
    <n v="16"/>
    <n v="360"/>
    <n v="0"/>
    <n v="0"/>
    <n v="0"/>
    <n v="0"/>
    <n v="337.5"/>
    <n v="0"/>
    <n v="65421"/>
    <n v="65421"/>
    <n v="87228"/>
    <n v="0"/>
    <n v="1046736"/>
    <n v="58878"/>
    <n v="0"/>
    <n v="58878"/>
    <n v="58878"/>
    <n v="78504"/>
    <n v="0"/>
    <n v="942048"/>
    <x v="0"/>
    <n v="0"/>
    <n v="0"/>
    <n v="0"/>
    <n v="0"/>
  </r>
  <r>
    <n v="1531"/>
    <x v="9"/>
    <s v="PE300028"/>
    <s v="FEMALE BALANCE 30 KAP"/>
    <x v="1"/>
    <n v="137403"/>
    <n v="1"/>
    <n v="0"/>
    <n v="1"/>
    <n v="8"/>
    <n v="0"/>
    <n v="0"/>
    <n v="0"/>
    <n v="0"/>
    <n v="0"/>
    <n v="1"/>
    <n v="60"/>
    <n v="8"/>
    <n v="240"/>
    <n v="0"/>
    <n v="0"/>
    <n v="0"/>
    <n v="0"/>
    <n v="240"/>
    <n v="0"/>
    <n v="137403"/>
    <n v="0"/>
    <n v="137403"/>
    <n v="0"/>
    <n v="1099224"/>
    <n v="123660"/>
    <n v="0"/>
    <n v="123660"/>
    <n v="0"/>
    <n v="123660"/>
    <n v="0"/>
    <n v="989280"/>
    <x v="0"/>
    <n v="0"/>
    <n v="0"/>
    <n v="0"/>
    <n v="0"/>
  </r>
  <r>
    <n v="1532"/>
    <x v="9"/>
    <s v="PE300029"/>
    <s v="MALE BALANCE 30 KAP"/>
    <x v="1"/>
    <n v="122868"/>
    <n v="1.6666666666667"/>
    <n v="0"/>
    <n v="0.66666666666666663"/>
    <n v="1"/>
    <n v="0"/>
    <n v="0"/>
    <n v="0"/>
    <n v="0"/>
    <n v="0"/>
    <n v="1"/>
    <n v="60"/>
    <n v="1"/>
    <n v="45"/>
    <n v="0.33333333333333326"/>
    <n v="0"/>
    <n v="0"/>
    <n v="0"/>
    <n v="45"/>
    <n v="0"/>
    <n v="204780.0000000041"/>
    <n v="0"/>
    <n v="81912"/>
    <n v="0"/>
    <n v="122868"/>
    <n v="110574"/>
    <n v="0"/>
    <n v="184290.0000000037"/>
    <n v="0"/>
    <n v="73716"/>
    <n v="0"/>
    <n v="110574"/>
    <x v="0"/>
    <n v="0"/>
    <n v="0"/>
    <n v="0"/>
    <n v="0"/>
  </r>
  <r>
    <n v="1533"/>
    <x v="9"/>
    <s v="PE300030"/>
    <s v="LINGZHI 30 KAP"/>
    <x v="1"/>
    <n v="52317"/>
    <n v="1"/>
    <n v="0"/>
    <n v="1"/>
    <n v="16"/>
    <n v="0"/>
    <n v="0"/>
    <n v="0"/>
    <n v="0"/>
    <n v="0"/>
    <n v="1"/>
    <n v="60"/>
    <n v="16"/>
    <n v="480"/>
    <n v="0"/>
    <n v="0"/>
    <n v="0"/>
    <n v="0"/>
    <n v="480"/>
    <n v="0"/>
    <n v="52317"/>
    <n v="0"/>
    <n v="52317"/>
    <n v="0"/>
    <n v="837072"/>
    <n v="47097"/>
    <n v="0"/>
    <n v="47097"/>
    <n v="0"/>
    <n v="47097"/>
    <n v="0"/>
    <n v="753552"/>
    <x v="0"/>
    <n v="0"/>
    <n v="0"/>
    <n v="0"/>
    <n v="0"/>
  </r>
  <r>
    <n v="1534"/>
    <x v="10"/>
    <s v="PE600001"/>
    <s v="MUGWORT PURIFYING MICELLAR WTR 75ML"/>
    <x v="1"/>
    <n v="28108"/>
    <n v="-884.33333333333383"/>
    <n v="0"/>
    <n v="-815.99999999999989"/>
    <n v="1"/>
    <n v="0"/>
    <n v="0"/>
    <n v="0"/>
    <n v="0"/>
    <n v="0"/>
    <n v="96"/>
    <n v="45"/>
    <n v="1"/>
    <n v="9999"/>
    <n v="0"/>
    <n v="0"/>
    <n v="0"/>
    <n v="0"/>
    <n v="9999"/>
    <n v="0"/>
    <n v="-24856841.333333347"/>
    <n v="0"/>
    <n v="-22936127.999999996"/>
    <n v="0"/>
    <n v="28108"/>
    <n v="26422"/>
    <n v="0"/>
    <n v="-23365855.333333347"/>
    <n v="0"/>
    <n v="-21560351.999999996"/>
    <n v="0"/>
    <n v="26422"/>
    <x v="0"/>
    <n v="0"/>
    <n v="0"/>
    <n v="0"/>
    <n v="0"/>
  </r>
  <r>
    <n v="1535"/>
    <x v="10"/>
    <s v="PE600002"/>
    <s v="66554 SKINTIFIC 5X CER MOIS GEL 30G"/>
    <x v="3"/>
    <n v="111135"/>
    <n v="-102.33333333333437"/>
    <n v="0"/>
    <n v="-55.333333333333336"/>
    <n v="108"/>
    <n v="0"/>
    <n v="0"/>
    <n v="0"/>
    <n v="0"/>
    <n v="0"/>
    <n v="96"/>
    <n v="45"/>
    <n v="108"/>
    <n v="9999"/>
    <n v="0"/>
    <n v="0"/>
    <n v="0"/>
    <n v="0"/>
    <n v="9999"/>
    <n v="0"/>
    <n v="-11372815.000000115"/>
    <n v="0"/>
    <n v="-6149470"/>
    <n v="0"/>
    <n v="12002580"/>
    <n v="104467"/>
    <n v="0"/>
    <n v="-10690456.333333442"/>
    <n v="0"/>
    <n v="-5780507.333333334"/>
    <n v="0"/>
    <n v="11282436"/>
    <x v="0"/>
    <n v="0"/>
    <n v="0"/>
    <n v="0"/>
    <n v="0"/>
  </r>
  <r>
    <n v="1536"/>
    <x v="10"/>
    <s v="PE600003"/>
    <s v="70414 SKINTIFIC 5X CER L PH CL 15ML"/>
    <x v="1"/>
    <n v="25226"/>
    <n v="-456.33333333333371"/>
    <n v="0"/>
    <n v="-418"/>
    <n v="0"/>
    <n v="0"/>
    <n v="0"/>
    <n v="0"/>
    <n v="0"/>
    <n v="0"/>
    <n v="240"/>
    <n v="45"/>
    <n v="0"/>
    <n v="0"/>
    <n v="0"/>
    <n v="0"/>
    <n v="0"/>
    <n v="0"/>
    <n v="0"/>
    <n v="0"/>
    <n v="-11511464.666666675"/>
    <n v="0"/>
    <n v="-10544468"/>
    <n v="0"/>
    <n v="0"/>
    <n v="23712"/>
    <n v="0"/>
    <n v="-10820576.000000009"/>
    <n v="0"/>
    <n v="-9911616"/>
    <n v="0"/>
    <n v="0"/>
    <x v="0"/>
    <n v="0"/>
    <n v="0"/>
    <n v="0"/>
    <n v="0"/>
  </r>
  <r>
    <n v="1537"/>
    <x v="10"/>
    <s v="PE600004"/>
    <s v="67162 SKTFC-2% SALICYLIC SERUM 20ML"/>
    <x v="1"/>
    <n v="121802"/>
    <n v="-11.666666666666631"/>
    <n v="0"/>
    <n v="-7.6666666666666661"/>
    <n v="0"/>
    <n v="0"/>
    <n v="0"/>
    <n v="0"/>
    <n v="0"/>
    <n v="0"/>
    <n v="12"/>
    <n v="45"/>
    <n v="0"/>
    <n v="0"/>
    <n v="0"/>
    <n v="0"/>
    <n v="0"/>
    <n v="0"/>
    <n v="0"/>
    <n v="0"/>
    <n v="-1421023.3333333288"/>
    <n v="0"/>
    <n v="-933815.33333333326"/>
    <n v="0"/>
    <n v="0"/>
    <n v="114494"/>
    <n v="0"/>
    <n v="-1335763.3333333293"/>
    <n v="0"/>
    <n v="-877787.33333333326"/>
    <n v="0"/>
    <n v="0"/>
    <x v="0"/>
    <n v="0"/>
    <n v="0"/>
    <n v="0"/>
    <n v="0"/>
  </r>
  <r>
    <n v="1538"/>
    <x v="10"/>
    <s v="PE600005"/>
    <s v="69524 SKTFC-SYMWHITE377 SERUM 20ML"/>
    <x v="3"/>
    <n v="121802"/>
    <n v="-26.3333333333333"/>
    <n v="0"/>
    <n v="-8"/>
    <n v="0"/>
    <n v="0"/>
    <n v="0"/>
    <n v="0"/>
    <n v="0"/>
    <n v="0"/>
    <n v="12"/>
    <n v="45"/>
    <n v="0"/>
    <n v="0"/>
    <n v="0"/>
    <n v="0"/>
    <n v="0"/>
    <n v="0"/>
    <n v="0"/>
    <n v="0"/>
    <n v="-3207452.6666666628"/>
    <n v="0"/>
    <n v="-974416"/>
    <n v="0"/>
    <n v="0"/>
    <n v="114494"/>
    <n v="0"/>
    <n v="-3015008.6666666628"/>
    <n v="0"/>
    <n v="-915952"/>
    <n v="0"/>
    <n v="0"/>
    <x v="0"/>
    <n v="0"/>
    <n v="0"/>
    <n v="0"/>
    <n v="0"/>
  </r>
  <r>
    <n v="1539"/>
    <x v="10"/>
    <s v="PE600006"/>
    <s v="70938 SKTFC-MUGWORT MICEL WTR 300ML"/>
    <x v="2"/>
    <n v="79207"/>
    <n v="-7"/>
    <n v="0"/>
    <n v="-4"/>
    <n v="0"/>
    <n v="0"/>
    <n v="0"/>
    <n v="0"/>
    <n v="0"/>
    <n v="0"/>
    <n v="12"/>
    <n v="45"/>
    <n v="0"/>
    <n v="0"/>
    <n v="0"/>
    <n v="0"/>
    <n v="0"/>
    <n v="0"/>
    <n v="0"/>
    <n v="0"/>
    <n v="-554449"/>
    <n v="0"/>
    <n v="-316828"/>
    <n v="0"/>
    <n v="0"/>
    <n v="74455"/>
    <n v="0"/>
    <n v="-521185"/>
    <n v="0"/>
    <n v="-297820"/>
    <n v="0"/>
    <n v="0"/>
    <x v="0"/>
    <n v="0"/>
    <n v="0"/>
    <n v="0"/>
    <n v="0"/>
  </r>
  <r>
    <n v="1540"/>
    <x v="10"/>
    <s v="PE600007"/>
    <s v="66240 SKTFC-MUGWORT ACN CL MASK 55G"/>
    <x v="1"/>
    <n v="100180"/>
    <n v="-11.3333333333334"/>
    <n v="0"/>
    <n v="-7.6666666666666661"/>
    <n v="0"/>
    <n v="0"/>
    <n v="0"/>
    <n v="0"/>
    <n v="0"/>
    <n v="0"/>
    <n v="12"/>
    <n v="45"/>
    <n v="0"/>
    <n v="0"/>
    <n v="0"/>
    <n v="0"/>
    <n v="0"/>
    <n v="0"/>
    <n v="0"/>
    <n v="0"/>
    <n v="-1135373.33333334"/>
    <n v="0"/>
    <n v="-768046.66666666663"/>
    <n v="0"/>
    <n v="0"/>
    <n v="94169"/>
    <n v="0"/>
    <n v="-1067248.6666666728"/>
    <n v="0"/>
    <n v="-721962.33333333326"/>
    <n v="0"/>
    <n v="0"/>
    <x v="0"/>
    <n v="0"/>
    <n v="0"/>
    <n v="0"/>
    <n v="0"/>
  </r>
  <r>
    <n v="1541"/>
    <x v="10"/>
    <s v="PE600009"/>
    <s v="70044SKTFC-5XCERAMIDE SRMSPF50 30ML"/>
    <x v="3"/>
    <n v="79200"/>
    <n v="-47.333333333333314"/>
    <n v="0"/>
    <n v="-22.333333333333332"/>
    <n v="0"/>
    <n v="0"/>
    <n v="0"/>
    <n v="0"/>
    <n v="0"/>
    <n v="0"/>
    <n v="12"/>
    <n v="45"/>
    <n v="0"/>
    <n v="0"/>
    <n v="0"/>
    <n v="0"/>
    <n v="0"/>
    <n v="0"/>
    <n v="0"/>
    <n v="0"/>
    <n v="-3748799.9999999986"/>
    <n v="0"/>
    <n v="-1768800"/>
    <n v="0"/>
    <n v="0"/>
    <n v="74448"/>
    <n v="0"/>
    <n v="-3523871.9999999986"/>
    <n v="0"/>
    <n v="-1662672"/>
    <n v="0"/>
    <n v="0"/>
    <x v="0"/>
    <n v="0"/>
    <n v="0"/>
    <n v="0"/>
    <n v="0"/>
  </r>
  <r>
    <n v="1542"/>
    <x v="10"/>
    <s v="PE600010"/>
    <s v="70327 SKTFC-OUTDOOR SPR SPF50 250ML"/>
    <x v="1"/>
    <n v="119200"/>
    <n v="-45.6666666666667"/>
    <n v="0"/>
    <n v="-19.333333333333332"/>
    <n v="6"/>
    <n v="0"/>
    <n v="0"/>
    <n v="0"/>
    <n v="0"/>
    <n v="0"/>
    <n v="12"/>
    <n v="45"/>
    <n v="6"/>
    <n v="9999"/>
    <n v="0"/>
    <n v="0"/>
    <n v="0"/>
    <n v="0"/>
    <n v="9999"/>
    <n v="0"/>
    <n v="-5443466.6666666707"/>
    <n v="0"/>
    <n v="-2304533.333333333"/>
    <n v="0"/>
    <n v="715200"/>
    <n v="112048"/>
    <n v="0"/>
    <n v="-5116858.6666666707"/>
    <n v="0"/>
    <n v="-2166261.333333333"/>
    <n v="0"/>
    <n v="672288"/>
    <x v="0"/>
    <n v="0"/>
    <n v="0"/>
    <n v="0"/>
    <n v="0"/>
  </r>
  <r>
    <n v="1543"/>
    <x v="10"/>
    <s v="PE600011"/>
    <s v="68398 SKTFC-5X CERAMIDE TONER 80ML"/>
    <x v="2"/>
    <n v="92829"/>
    <n v="-13.333333333333369"/>
    <n v="0"/>
    <n v="-6.666666666666667"/>
    <n v="0"/>
    <n v="0"/>
    <n v="0"/>
    <n v="0"/>
    <n v="0"/>
    <n v="0"/>
    <n v="12"/>
    <n v="45"/>
    <n v="0"/>
    <n v="0"/>
    <n v="0"/>
    <n v="0"/>
    <n v="0"/>
    <n v="0"/>
    <n v="0"/>
    <n v="0"/>
    <n v="-1237720.0000000033"/>
    <n v="0"/>
    <n v="-618860"/>
    <n v="0"/>
    <n v="0"/>
    <n v="87259"/>
    <n v="0"/>
    <n v="-1163453.3333333365"/>
    <n v="0"/>
    <n v="-581726.66666666674"/>
    <n v="0"/>
    <n v="0"/>
    <x v="0"/>
    <n v="0"/>
    <n v="0"/>
    <n v="0"/>
    <n v="0"/>
  </r>
  <r>
    <n v="1544"/>
    <x v="10"/>
    <s v="PE600012"/>
    <s v="70471 SKTFC-ALLDAY MIST SPF50 120ML"/>
    <x v="3"/>
    <n v="79200"/>
    <n v="-651.66666666666299"/>
    <n v="0"/>
    <n v="-28.666666666666668"/>
    <n v="0"/>
    <n v="0"/>
    <n v="0"/>
    <n v="0"/>
    <n v="0"/>
    <n v="0"/>
    <n v="12"/>
    <n v="45"/>
    <n v="0"/>
    <n v="0"/>
    <n v="0"/>
    <n v="0"/>
    <n v="0"/>
    <n v="0"/>
    <n v="0"/>
    <n v="0"/>
    <n v="-51611999.999999709"/>
    <n v="0"/>
    <n v="-2270400"/>
    <n v="0"/>
    <n v="0"/>
    <n v="74448"/>
    <n v="0"/>
    <n v="-48515279.999999724"/>
    <n v="0"/>
    <n v="-2134176"/>
    <n v="0"/>
    <n v="0"/>
    <x v="0"/>
    <n v="0"/>
    <n v="0"/>
    <n v="0"/>
    <n v="0"/>
  </r>
  <r>
    <n v="1545"/>
    <x v="10"/>
    <s v="PE600013"/>
    <s v="70136 SKTFC-MSH NIACINAMIDE GEL 30G"/>
    <x v="3"/>
    <n v="111135"/>
    <n v="-33.666666666666615"/>
    <n v="0"/>
    <n v="-14.000000000000002"/>
    <n v="0"/>
    <n v="0"/>
    <n v="0"/>
    <n v="0"/>
    <n v="0"/>
    <n v="0"/>
    <n v="12"/>
    <n v="45"/>
    <n v="0"/>
    <n v="0"/>
    <n v="0"/>
    <n v="0"/>
    <n v="0"/>
    <n v="0"/>
    <n v="0"/>
    <n v="0"/>
    <n v="-3741544.9999999944"/>
    <n v="0"/>
    <n v="-1555890.0000000002"/>
    <n v="0"/>
    <n v="0"/>
    <n v="104467"/>
    <n v="0"/>
    <n v="-3517055.6666666614"/>
    <n v="0"/>
    <n v="-1462538.0000000002"/>
    <n v="0"/>
    <n v="0"/>
    <x v="0"/>
    <n v="0"/>
    <n v="0"/>
    <n v="0"/>
    <n v="0"/>
  </r>
  <r>
    <n v="1546"/>
    <x v="10"/>
    <s v="PE600014"/>
    <s v="72562 SKTFC-GLYCOLICACID TONER 80ML"/>
    <x v="1"/>
    <n v="114595"/>
    <n v="-41.3333333333333"/>
    <n v="0"/>
    <n v="-14"/>
    <n v="0"/>
    <n v="0"/>
    <n v="0"/>
    <n v="0"/>
    <n v="0"/>
    <n v="0"/>
    <n v="12"/>
    <n v="45"/>
    <n v="0"/>
    <n v="0"/>
    <n v="0"/>
    <n v="0"/>
    <n v="0"/>
    <n v="0"/>
    <n v="0"/>
    <n v="0"/>
    <n v="-4736593.3333333293"/>
    <n v="0"/>
    <n v="-1604330"/>
    <n v="0"/>
    <n v="0"/>
    <n v="107719"/>
    <n v="0"/>
    <n v="-4452385.3333333293"/>
    <n v="0"/>
    <n v="-1508066"/>
    <n v="0"/>
    <n v="0"/>
    <x v="0"/>
    <n v="0"/>
    <n v="0"/>
    <n v="0"/>
    <n v="0"/>
  </r>
  <r>
    <n v="1547"/>
    <x v="10"/>
    <s v="PE600015"/>
    <s v="70457 SKTFC-3%TRANEXAMIC SERUM 20ML"/>
    <x v="1"/>
    <n v="121802"/>
    <n v="-11.6666666666667"/>
    <n v="0"/>
    <n v="-8"/>
    <n v="12"/>
    <n v="0"/>
    <n v="0"/>
    <n v="0"/>
    <n v="0"/>
    <n v="0"/>
    <n v="12"/>
    <n v="45"/>
    <n v="12"/>
    <n v="9999"/>
    <n v="0"/>
    <n v="0"/>
    <n v="0"/>
    <n v="0"/>
    <n v="9999"/>
    <n v="0"/>
    <n v="-1421023.3333333374"/>
    <n v="0"/>
    <n v="-974416"/>
    <n v="0"/>
    <n v="1461624"/>
    <n v="114494"/>
    <n v="0"/>
    <n v="-1335763.3333333372"/>
    <n v="0"/>
    <n v="-915952"/>
    <n v="0"/>
    <n v="1373928"/>
    <x v="0"/>
    <n v="0"/>
    <n v="0"/>
    <n v="0"/>
    <n v="0"/>
  </r>
  <r>
    <n v="1548"/>
    <x v="10"/>
    <s v="PE600016"/>
    <s v="70686 SKTFC-PURECENTELLA TONER 80ML"/>
    <x v="1"/>
    <n v="114595"/>
    <n v="-23.6666666666667"/>
    <n v="0"/>
    <n v="-4"/>
    <n v="0"/>
    <n v="0"/>
    <n v="0"/>
    <n v="0"/>
    <n v="0"/>
    <n v="0"/>
    <n v="12"/>
    <n v="45"/>
    <n v="0"/>
    <n v="0"/>
    <n v="0"/>
    <n v="0"/>
    <n v="0"/>
    <n v="0"/>
    <n v="0"/>
    <n v="0"/>
    <n v="-2712081.6666666702"/>
    <n v="0"/>
    <n v="-458380"/>
    <n v="0"/>
    <n v="0"/>
    <n v="107719"/>
    <n v="0"/>
    <n v="-2549349.6666666702"/>
    <n v="0"/>
    <n v="-430876"/>
    <n v="0"/>
    <n v="0"/>
    <x v="0"/>
    <n v="0"/>
    <n v="0"/>
    <n v="0"/>
    <n v="0"/>
  </r>
  <r>
    <n v="1549"/>
    <x v="10"/>
    <s v="PE600017"/>
    <s v="71336 SKTFC-5XCERAMIDE MOIS GEL 80G"/>
    <x v="1"/>
    <n v="26552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249589"/>
    <n v="0"/>
    <n v="0"/>
    <n v="0"/>
    <n v="0"/>
    <n v="0"/>
    <n v="0"/>
    <x v="0"/>
    <n v="0"/>
    <n v="0"/>
    <n v="0"/>
    <n v="0"/>
  </r>
  <r>
    <n v="1550"/>
    <x v="10"/>
    <s v="PE600018"/>
    <s v="70464 SKTFC-TRUFFLEBIOME MOIST 30G"/>
    <x v="1"/>
    <n v="136216"/>
    <n v="-12"/>
    <n v="0"/>
    <n v="-8"/>
    <n v="0"/>
    <n v="0"/>
    <n v="0"/>
    <n v="0"/>
    <n v="0"/>
    <n v="0"/>
    <n v="12"/>
    <n v="45"/>
    <n v="0"/>
    <n v="0"/>
    <n v="0"/>
    <n v="0"/>
    <n v="0"/>
    <n v="0"/>
    <n v="0"/>
    <n v="0"/>
    <n v="-1634592"/>
    <n v="0"/>
    <n v="-1089728"/>
    <n v="0"/>
    <n v="0"/>
    <n v="128043"/>
    <n v="0"/>
    <n v="-1536516"/>
    <n v="0"/>
    <n v="-1024344"/>
    <n v="0"/>
    <n v="0"/>
    <x v="0"/>
    <n v="0"/>
    <n v="0"/>
    <n v="0"/>
    <n v="0"/>
  </r>
  <r>
    <n v="1551"/>
    <x v="10"/>
    <s v="PE600019"/>
    <s v="65946 SKTFC-4DHYALURONIC TONR 100ML"/>
    <x v="2"/>
    <n v="100180"/>
    <n v="-8.3333333333333002"/>
    <n v="0"/>
    <n v="-4.6666666666666661"/>
    <n v="12"/>
    <n v="0"/>
    <n v="0"/>
    <n v="0"/>
    <n v="0"/>
    <n v="0"/>
    <n v="12"/>
    <n v="45"/>
    <n v="12"/>
    <n v="9999"/>
    <n v="0"/>
    <n v="0"/>
    <n v="0"/>
    <n v="0"/>
    <n v="9999"/>
    <n v="0"/>
    <n v="-834833.33333333"/>
    <n v="0"/>
    <n v="-467506.66666666663"/>
    <n v="0"/>
    <n v="1202160"/>
    <n v="94169"/>
    <n v="0"/>
    <n v="-784741.6666666636"/>
    <n v="0"/>
    <n v="-439455.33333333326"/>
    <n v="0"/>
    <n v="1130028"/>
    <x v="0"/>
    <n v="0"/>
    <n v="0"/>
    <n v="0"/>
    <n v="0"/>
  </r>
  <r>
    <n v="1552"/>
    <x v="10"/>
    <s v="PE600020"/>
    <s v="65328 SKTFC-10%NIACINAMIDE SRM 20ML"/>
    <x v="3"/>
    <n v="103207"/>
    <n v="-42.6666666666666"/>
    <n v="0"/>
    <n v="-18.333333333333336"/>
    <n v="27"/>
    <n v="0"/>
    <n v="0"/>
    <n v="0"/>
    <n v="0"/>
    <n v="0"/>
    <n v="12"/>
    <n v="45"/>
    <n v="27"/>
    <n v="9999"/>
    <n v="0"/>
    <n v="0"/>
    <n v="0"/>
    <n v="0"/>
    <n v="9999"/>
    <n v="0"/>
    <n v="-4403498.6666666595"/>
    <n v="0"/>
    <n v="-1892128.3333333335"/>
    <n v="0"/>
    <n v="2786589"/>
    <n v="97015"/>
    <n v="0"/>
    <n v="-4139306.6666666605"/>
    <n v="0"/>
    <n v="-1778608.3333333335"/>
    <n v="0"/>
    <n v="2619405"/>
    <x v="0"/>
    <n v="0"/>
    <n v="0"/>
    <n v="0"/>
    <n v="0"/>
  </r>
  <r>
    <n v="1553"/>
    <x v="10"/>
    <s v="PE600021"/>
    <s v="70723 SKTFC-PANTHENOL CLEANS 120ML"/>
    <x v="1"/>
    <n v="10018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94169"/>
    <n v="0"/>
    <n v="0"/>
    <n v="0"/>
    <n v="0"/>
    <n v="0"/>
    <n v="0"/>
    <x v="0"/>
    <n v="0"/>
    <n v="0"/>
    <n v="0"/>
    <n v="0"/>
  </r>
  <r>
    <n v="1554"/>
    <x v="10"/>
    <s v="PE600022"/>
    <s v="70716 SKTFC-SYMWHITE377 MOISGEL 30G"/>
    <x v="3"/>
    <n v="111135"/>
    <n v="-65.333333333333002"/>
    <n v="0"/>
    <n v="-21.333333333333332"/>
    <n v="0"/>
    <n v="0"/>
    <n v="0"/>
    <n v="0"/>
    <n v="0"/>
    <n v="0"/>
    <n v="12"/>
    <n v="45"/>
    <n v="0"/>
    <n v="0"/>
    <n v="0"/>
    <n v="0"/>
    <n v="0"/>
    <n v="0"/>
    <n v="0"/>
    <n v="0"/>
    <n v="-7260819.9999999627"/>
    <n v="0"/>
    <n v="-2370880"/>
    <n v="0"/>
    <n v="0"/>
    <n v="104467"/>
    <n v="0"/>
    <n v="-6825177.3333332986"/>
    <n v="0"/>
    <n v="-2228629.333333333"/>
    <n v="0"/>
    <n v="0"/>
    <x v="0"/>
    <n v="0"/>
    <n v="0"/>
    <n v="0"/>
    <n v="0"/>
  </r>
  <r>
    <n v="1555"/>
    <x v="10"/>
    <s v="PE600024"/>
    <s v="65632 SKTFC-AHA BHA EXFO TONER 80ML"/>
    <x v="1"/>
    <n v="114595"/>
    <n v="-43"/>
    <n v="0"/>
    <n v="-15"/>
    <n v="0"/>
    <n v="0"/>
    <n v="0"/>
    <n v="0"/>
    <n v="0"/>
    <n v="0"/>
    <n v="12"/>
    <n v="45"/>
    <n v="0"/>
    <n v="0"/>
    <n v="0"/>
    <n v="0"/>
    <n v="0"/>
    <n v="0"/>
    <n v="0"/>
    <n v="0"/>
    <n v="-4927585"/>
    <n v="0"/>
    <n v="-1718925"/>
    <n v="0"/>
    <n v="0"/>
    <n v="107719"/>
    <n v="0"/>
    <n v="-4631917"/>
    <n v="0"/>
    <n v="-1615785"/>
    <n v="0"/>
    <n v="0"/>
    <x v="0"/>
    <n v="0"/>
    <n v="0"/>
    <n v="0"/>
    <n v="0"/>
  </r>
  <r>
    <n v="1556"/>
    <x v="10"/>
    <s v="PE600025"/>
    <s v="67476 SKTFC-360 CRYSTAL EYE CRM 20G"/>
    <x v="1"/>
    <n v="165045"/>
    <n v="-2.6666666666666998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-440120.00000000547"/>
    <n v="0"/>
    <n v="0"/>
    <n v="0"/>
    <n v="0"/>
    <n v="155142"/>
    <n v="0"/>
    <n v="-413712.00000000512"/>
    <n v="0"/>
    <n v="0"/>
    <n v="0"/>
    <n v="0"/>
    <x v="0"/>
    <n v="0"/>
    <n v="0"/>
    <n v="0"/>
    <n v="0"/>
  </r>
  <r>
    <n v="1557"/>
    <x v="10"/>
    <s v="PE600026"/>
    <s v="70341 SKTFC-MUGWORT AC CL STICK 40G"/>
    <x v="2"/>
    <n v="71207"/>
    <n v="-65.666666666666501"/>
    <n v="0"/>
    <n v="-20.666666666666668"/>
    <n v="0"/>
    <n v="0"/>
    <n v="0"/>
    <n v="0"/>
    <n v="0"/>
    <n v="0"/>
    <n v="12"/>
    <n v="45"/>
    <n v="0"/>
    <n v="0"/>
    <n v="0"/>
    <n v="0"/>
    <n v="0"/>
    <n v="0"/>
    <n v="0"/>
    <n v="0"/>
    <n v="-4675926.3333333218"/>
    <n v="0"/>
    <n v="-1471611.3333333335"/>
    <n v="0"/>
    <n v="0"/>
    <n v="66935"/>
    <n v="0"/>
    <n v="-4395398.3333333218"/>
    <n v="0"/>
    <n v="-1383323.3333333335"/>
    <n v="0"/>
    <n v="0"/>
    <x v="0"/>
    <n v="0"/>
    <n v="0"/>
    <n v="0"/>
    <n v="0"/>
  </r>
  <r>
    <n v="1558"/>
    <x v="10"/>
    <s v="PE600027"/>
    <s v="68916 SKTFC-5X CERAMIDE SERUM 20ML"/>
    <x v="3"/>
    <n v="103207"/>
    <n v="0"/>
    <n v="0"/>
    <n v="0"/>
    <n v="15"/>
    <n v="0"/>
    <n v="0"/>
    <n v="0"/>
    <n v="0"/>
    <n v="0"/>
    <n v="12"/>
    <n v="45"/>
    <n v="15"/>
    <n v="9999"/>
    <n v="0"/>
    <n v="0"/>
    <n v="0"/>
    <n v="0"/>
    <n v="9999"/>
    <n v="0"/>
    <n v="0"/>
    <n v="0"/>
    <n v="0"/>
    <n v="0"/>
    <n v="1548105"/>
    <n v="97015"/>
    <n v="0"/>
    <n v="0"/>
    <n v="0"/>
    <n v="0"/>
    <n v="0"/>
    <n v="1455225"/>
    <x v="0"/>
    <n v="0"/>
    <n v="0"/>
    <n v="0"/>
    <n v="0"/>
  </r>
  <r>
    <n v="1559"/>
    <x v="10"/>
    <s v="PE600028"/>
    <s v="70259 SKTFC-ALASKAVOLCANO STICK 40G"/>
    <x v="1"/>
    <n v="71207"/>
    <n v="-107.9999999999994"/>
    <n v="0"/>
    <n v="-55.000000000000007"/>
    <n v="0"/>
    <n v="0"/>
    <n v="0"/>
    <n v="0"/>
    <n v="0"/>
    <n v="0"/>
    <n v="12"/>
    <n v="45"/>
    <n v="0"/>
    <n v="0"/>
    <n v="0"/>
    <n v="0"/>
    <n v="0"/>
    <n v="0"/>
    <n v="0"/>
    <n v="0"/>
    <n v="-7690355.9999999572"/>
    <n v="0"/>
    <n v="-3916385.0000000005"/>
    <n v="0"/>
    <n v="0"/>
    <n v="66935"/>
    <n v="0"/>
    <n v="-7228979.99999996"/>
    <n v="0"/>
    <n v="-3681425.0000000005"/>
    <n v="0"/>
    <n v="0"/>
    <x v="0"/>
    <n v="0"/>
    <n v="0"/>
    <n v="0"/>
    <n v="0"/>
  </r>
  <r>
    <n v="1560"/>
    <x v="10"/>
    <s v="PE600029"/>
    <s v="70693 SKTFC-5%PANTHENOL WTR GEL 45G"/>
    <x v="3"/>
    <n v="111135"/>
    <n v="-27.6666666666667"/>
    <n v="0"/>
    <n v="-11.666666666666668"/>
    <n v="0"/>
    <n v="0"/>
    <n v="0"/>
    <n v="0"/>
    <n v="0"/>
    <n v="0"/>
    <n v="12"/>
    <n v="45"/>
    <n v="0"/>
    <n v="0"/>
    <n v="0"/>
    <n v="0"/>
    <n v="0"/>
    <n v="0"/>
    <n v="0"/>
    <n v="0"/>
    <n v="-3074735.0000000037"/>
    <n v="0"/>
    <n v="-1296575.0000000002"/>
    <n v="0"/>
    <n v="0"/>
    <n v="104467"/>
    <n v="0"/>
    <n v="-2890253.6666666702"/>
    <n v="0"/>
    <n v="-1218781.6666666667"/>
    <n v="0"/>
    <n v="0"/>
    <x v="0"/>
    <n v="0"/>
    <n v="0"/>
    <n v="0"/>
    <n v="0"/>
  </r>
  <r>
    <n v="1561"/>
    <x v="10"/>
    <s v="PE600030"/>
    <s v="65014 SKTFC-5XCERAMIDE CLEANS 80ML"/>
    <x v="3"/>
    <n v="79207"/>
    <n v="-534.66666666666629"/>
    <n v="0"/>
    <n v="-101.33333333333333"/>
    <n v="33"/>
    <n v="0"/>
    <n v="0"/>
    <n v="0"/>
    <n v="0"/>
    <n v="0"/>
    <n v="12"/>
    <n v="45"/>
    <n v="33"/>
    <n v="9999"/>
    <n v="0"/>
    <n v="0"/>
    <n v="0"/>
    <n v="0"/>
    <n v="9999"/>
    <n v="0"/>
    <n v="-42349342.666666634"/>
    <n v="0"/>
    <n v="-8026309.333333333"/>
    <n v="0"/>
    <n v="2613831"/>
    <n v="74455"/>
    <n v="0"/>
    <n v="-39808606.666666642"/>
    <n v="0"/>
    <n v="-7544773.333333333"/>
    <n v="0"/>
    <n v="2457015"/>
    <x v="0"/>
    <n v="0"/>
    <n v="0"/>
    <n v="0"/>
    <n v="0"/>
  </r>
  <r>
    <n v="1562"/>
    <x v="10"/>
    <s v="PE600031"/>
    <s v="70211 SKTFC-CUSH SPF35 04 BEIGE 11G"/>
    <x v="2"/>
    <n v="135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95"/>
    <n v="0"/>
    <n v="0"/>
    <n v="0"/>
    <n v="0"/>
    <n v="0"/>
    <n v="0"/>
    <x v="0"/>
    <n v="0"/>
    <n v="0"/>
    <n v="0"/>
    <n v="0"/>
  </r>
  <r>
    <n v="1563"/>
    <x v="10"/>
    <s v="PE600032"/>
    <s v="70235 SKTFC-CUSH SPF35 05 SAND 11G"/>
    <x v="1"/>
    <n v="13520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88"/>
    <n v="0"/>
    <n v="0"/>
    <n v="0"/>
    <n v="0"/>
    <n v="0"/>
    <n v="0"/>
    <x v="0"/>
    <n v="0"/>
    <n v="0"/>
    <n v="0"/>
    <n v="0"/>
  </r>
  <r>
    <n v="1564"/>
    <x v="10"/>
    <s v="PE600033"/>
    <s v="70150 SKTFC-CUSH SPF35 01VANILA 11G"/>
    <x v="2"/>
    <n v="135207"/>
    <n v="-41.3333333333334"/>
    <n v="0"/>
    <n v="-13.666666666666666"/>
    <n v="0"/>
    <n v="0"/>
    <n v="0"/>
    <n v="0"/>
    <n v="0"/>
    <n v="0"/>
    <n v="12"/>
    <n v="45"/>
    <n v="0"/>
    <n v="0"/>
    <n v="0"/>
    <n v="0"/>
    <n v="0"/>
    <n v="0"/>
    <n v="0"/>
    <n v="0"/>
    <n v="-5588556.0000000093"/>
    <n v="0"/>
    <n v="-1847829"/>
    <n v="0"/>
    <n v="0"/>
    <n v="127095"/>
    <n v="0"/>
    <n v="-5253260.0000000084"/>
    <n v="0"/>
    <n v="-1736965"/>
    <n v="0"/>
    <n v="0"/>
    <x v="0"/>
    <n v="0"/>
    <n v="0"/>
    <n v="0"/>
    <n v="0"/>
  </r>
  <r>
    <n v="1565"/>
    <x v="10"/>
    <s v="PE600034"/>
    <s v="70082 SKTFC-5X CERAMIDE TRAVEL KIT"/>
    <x v="1"/>
    <n v="92973"/>
    <n v="-29.666666666666572"/>
    <n v="0"/>
    <n v="-13.666666666666668"/>
    <n v="0"/>
    <n v="0"/>
    <n v="0"/>
    <n v="0"/>
    <n v="0"/>
    <n v="0"/>
    <n v="48"/>
    <n v="45"/>
    <n v="0"/>
    <n v="0"/>
    <n v="0"/>
    <n v="0"/>
    <n v="0"/>
    <n v="0"/>
    <n v="0"/>
    <n v="0"/>
    <n v="-2758198.9999999912"/>
    <n v="0"/>
    <n v="-1270631"/>
    <n v="0"/>
    <n v="0"/>
    <n v="87395"/>
    <n v="0"/>
    <n v="-2592718.3333333251"/>
    <n v="0"/>
    <n v="-1194398.3333333335"/>
    <n v="0"/>
    <n v="0"/>
    <x v="0"/>
    <n v="0"/>
    <n v="0"/>
    <n v="0"/>
    <n v="0"/>
  </r>
  <r>
    <n v="1566"/>
    <x v="10"/>
    <s v="PE600035"/>
    <s v="70174 SKTFC-CUSH SPF35 02IVORY 11G"/>
    <x v="3"/>
    <n v="135207"/>
    <n v="-11.666666666666689"/>
    <n v="0"/>
    <n v="-3.3333333333333335"/>
    <n v="0"/>
    <n v="0"/>
    <n v="0"/>
    <n v="0"/>
    <n v="0"/>
    <n v="0"/>
    <n v="12"/>
    <n v="45"/>
    <n v="0"/>
    <n v="0"/>
    <n v="0"/>
    <n v="0"/>
    <n v="0"/>
    <n v="0"/>
    <n v="0"/>
    <n v="0"/>
    <n v="-1577415.000000003"/>
    <n v="0"/>
    <n v="-450690"/>
    <n v="0"/>
    <n v="0"/>
    <n v="127095"/>
    <n v="0"/>
    <n v="-1482775.0000000028"/>
    <n v="0"/>
    <n v="-423650"/>
    <n v="0"/>
    <n v="0"/>
    <x v="0"/>
    <n v="0"/>
    <n v="0"/>
    <n v="0"/>
    <n v="0"/>
  </r>
  <r>
    <n v="1567"/>
    <x v="10"/>
    <s v="PE600036"/>
    <s v="70198 SKTFC-CUSH SPF35 03PETAL 11G"/>
    <x v="3"/>
    <n v="135207"/>
    <n v="-13.66666666666667"/>
    <n v="0"/>
    <n v="-4.666666666666667"/>
    <n v="0"/>
    <n v="0"/>
    <n v="0"/>
    <n v="1"/>
    <n v="0"/>
    <n v="0"/>
    <n v="12"/>
    <n v="45"/>
    <n v="1"/>
    <n v="9999"/>
    <n v="0"/>
    <n v="0"/>
    <n v="0"/>
    <n v="0"/>
    <n v="9999"/>
    <n v="0"/>
    <n v="-1847829.0000000005"/>
    <n v="0"/>
    <n v="-630966"/>
    <n v="0"/>
    <n v="135207"/>
    <n v="127095"/>
    <n v="0"/>
    <n v="-1736965.0000000005"/>
    <n v="0"/>
    <n v="-593110"/>
    <n v="0"/>
    <n v="127095"/>
    <x v="0"/>
    <n v="0"/>
    <n v="0"/>
    <n v="0"/>
    <n v="0"/>
  </r>
  <r>
    <n v="1568"/>
    <x v="10"/>
    <s v="PE600037"/>
    <s v="70488 SKTFC-CUSH SPF35 03AALMON 11G"/>
    <x v="1"/>
    <n v="13520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88"/>
    <n v="0"/>
    <n v="0"/>
    <n v="0"/>
    <n v="0"/>
    <n v="0"/>
    <n v="0"/>
    <x v="0"/>
    <n v="0"/>
    <n v="0"/>
    <n v="0"/>
    <n v="0"/>
  </r>
  <r>
    <n v="1569"/>
    <x v="10"/>
    <s v="PE600038"/>
    <s v="70501 SKTFC-CUSH SPF35 06HONEY 11G"/>
    <x v="1"/>
    <n v="172252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61917"/>
    <n v="0"/>
    <n v="0"/>
    <n v="0"/>
    <n v="0"/>
    <n v="0"/>
    <n v="0"/>
    <x v="0"/>
    <n v="0"/>
    <n v="0"/>
    <n v="0"/>
    <n v="0"/>
  </r>
  <r>
    <n v="1570"/>
    <x v="10"/>
    <s v="PE600039"/>
    <s v="70808 SKTFC-AD SR FOND 00PORCE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1"/>
    <x v="10"/>
    <s v="PE600040"/>
    <s v="70815 SKTFC-AD SR FOND 00ASHEL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2"/>
    <x v="10"/>
    <s v="PE600041"/>
    <s v="70822 SKTFC-AD SR FOND 01VANIL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3"/>
    <x v="10"/>
    <s v="PE600042"/>
    <s v="70839 SKTFC-AD SR FOND 01ACREM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4"/>
    <x v="10"/>
    <s v="PE600043"/>
    <s v="70846 SKTFC-AD SR FOND 02IVORY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5"/>
    <x v="10"/>
    <s v="PE600044"/>
    <s v="70853 SKTFC-AD SR FOND 03PETAL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6"/>
    <x v="10"/>
    <s v="PE600045"/>
    <s v="70860 SKTFC-AD SR FOND 03AALMD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7"/>
    <x v="10"/>
    <s v="PE600046"/>
    <s v="70877 SKTFC-AD SR FOND 04BEIGE 25ML"/>
    <x v="1"/>
    <n v="151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42135"/>
    <n v="0"/>
    <n v="0"/>
    <n v="0"/>
    <n v="0"/>
    <n v="0"/>
    <n v="0"/>
    <x v="0"/>
    <n v="0"/>
    <n v="0"/>
    <n v="0"/>
    <n v="0"/>
  </r>
  <r>
    <n v="1578"/>
    <x v="10"/>
    <s v="PE600047"/>
    <s v="70006 SKTFC-LIGHT SR SUNSCREEN 25ML"/>
    <x v="1"/>
    <n v="7920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74448"/>
    <n v="0"/>
    <n v="0"/>
    <n v="0"/>
    <n v="0"/>
    <n v="0"/>
    <n v="0"/>
    <x v="0"/>
    <n v="0"/>
    <n v="0"/>
    <n v="0"/>
    <n v="0"/>
  </r>
  <r>
    <n v="1579"/>
    <x v="10"/>
    <s v="PE600048"/>
    <s v="68602 SKTFC-4D HYALURONIC SR 20ML"/>
    <x v="1"/>
    <n v="121802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14494"/>
    <n v="0"/>
    <n v="0"/>
    <n v="0"/>
    <n v="0"/>
    <n v="0"/>
    <n v="0"/>
    <x v="0"/>
    <n v="0"/>
    <n v="0"/>
    <n v="0"/>
    <n v="0"/>
  </r>
  <r>
    <n v="1580"/>
    <x v="10"/>
    <s v="PE600049"/>
    <s v="70143 SKTFC-NIACIAMIDE ESS TR 80ML"/>
    <x v="4"/>
    <n v="92829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87259"/>
    <n v="0"/>
    <n v="0"/>
    <n v="0"/>
    <n v="0"/>
    <n v="0"/>
    <n v="0"/>
    <x v="0"/>
    <n v="0"/>
    <n v="0"/>
    <n v="0"/>
    <n v="0"/>
  </r>
  <r>
    <n v="1581"/>
    <x v="10"/>
    <s v="PE600050"/>
    <s v="71022 SKTFC-PURIFYING ICR BALM 40G"/>
    <x v="1"/>
    <n v="103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97015"/>
    <n v="0"/>
    <n v="0"/>
    <n v="0"/>
    <n v="0"/>
    <n v="0"/>
    <n v="0"/>
    <x v="0"/>
    <n v="0"/>
    <n v="0"/>
    <n v="0"/>
    <n v="0"/>
  </r>
  <r>
    <n v="1582"/>
    <x v="10"/>
    <s v="PE600051"/>
    <s v="70099 SKTFC-CERAMIDE SHT MASK 26ML"/>
    <x v="1"/>
    <n v="20000"/>
    <n v="0"/>
    <n v="0"/>
    <n v="0"/>
    <n v="0"/>
    <n v="0"/>
    <n v="0"/>
    <n v="0"/>
    <n v="0"/>
    <n v="0"/>
    <n v="40"/>
    <n v="45"/>
    <n v="0"/>
    <n v="0"/>
    <n v="0"/>
    <n v="0"/>
    <n v="0"/>
    <n v="0"/>
    <n v="0"/>
    <n v="0"/>
    <n v="0"/>
    <n v="0"/>
    <n v="0"/>
    <n v="0"/>
    <n v="0"/>
    <n v="18800"/>
    <n v="0"/>
    <n v="0"/>
    <n v="0"/>
    <n v="0"/>
    <n v="0"/>
    <n v="0"/>
    <x v="0"/>
    <n v="0"/>
    <n v="0"/>
    <n v="0"/>
    <n v="0"/>
  </r>
  <r>
    <n v="1583"/>
    <x v="10"/>
    <s v="PE600052"/>
    <s v="69838 SKTFC-CERAMIDE BAR MOISGEL 6G"/>
    <x v="1"/>
    <n v="28108"/>
    <n v="0"/>
    <n v="0"/>
    <n v="0"/>
    <n v="0"/>
    <n v="0"/>
    <n v="0"/>
    <n v="0"/>
    <n v="0"/>
    <n v="0"/>
    <n v="60"/>
    <n v="45"/>
    <n v="0"/>
    <n v="0"/>
    <n v="0"/>
    <n v="0"/>
    <n v="0"/>
    <n v="0"/>
    <n v="0"/>
    <n v="0"/>
    <n v="0"/>
    <n v="0"/>
    <n v="0"/>
    <n v="0"/>
    <n v="0"/>
    <n v="26422"/>
    <n v="0"/>
    <n v="0"/>
    <n v="0"/>
    <n v="0"/>
    <n v="0"/>
    <n v="0"/>
    <x v="0"/>
    <n v="0"/>
    <n v="0"/>
    <n v="0"/>
    <n v="0"/>
  </r>
  <r>
    <n v="1584"/>
    <x v="10"/>
    <s v="PE600053"/>
    <s v="72258 SKTFC-AMINO ACID MOUSSE 100ML"/>
    <x v="1"/>
    <n v="79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74455"/>
    <n v="0"/>
    <n v="0"/>
    <n v="0"/>
    <n v="0"/>
    <n v="0"/>
    <n v="0"/>
    <x v="0"/>
    <n v="0"/>
    <n v="0"/>
    <n v="0"/>
    <n v="0"/>
  </r>
  <r>
    <n v="1585"/>
    <x v="10"/>
    <s v="PE600054"/>
    <s v="70037 SKTFC-ALASKA VOLCANO MASK 55G"/>
    <x v="1"/>
    <n v="79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74455"/>
    <n v="0"/>
    <n v="0"/>
    <n v="0"/>
    <n v="0"/>
    <n v="0"/>
    <n v="0"/>
    <x v="0"/>
    <n v="0"/>
    <n v="0"/>
    <n v="0"/>
    <n v="0"/>
  </r>
  <r>
    <n v="1586"/>
    <x v="10"/>
    <s v="PE600055"/>
    <s v="71640 SKTFC-5X CERAMIDE STH TR 20ML"/>
    <x v="1"/>
    <n v="25225"/>
    <n v="0"/>
    <n v="0"/>
    <n v="0"/>
    <n v="0"/>
    <n v="0"/>
    <n v="0"/>
    <n v="0"/>
    <n v="0"/>
    <n v="0"/>
    <n v="40"/>
    <n v="45"/>
    <n v="0"/>
    <n v="0"/>
    <n v="0"/>
    <n v="0"/>
    <n v="0"/>
    <n v="0"/>
    <n v="0"/>
    <n v="0"/>
    <n v="0"/>
    <n v="0"/>
    <n v="0"/>
    <n v="0"/>
    <n v="0"/>
    <n v="23712"/>
    <n v="0"/>
    <n v="0"/>
    <n v="0"/>
    <n v="0"/>
    <n v="0"/>
    <n v="0"/>
    <x v="0"/>
    <n v="0"/>
    <n v="0"/>
    <n v="0"/>
    <n v="0"/>
  </r>
  <r>
    <n v="1587"/>
    <x v="10"/>
    <s v="PE600056"/>
    <s v="72876 SKTFC-WHITE TRUFF ESS 80ML"/>
    <x v="1"/>
    <n v="92829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87259"/>
    <n v="0"/>
    <n v="0"/>
    <n v="0"/>
    <n v="0"/>
    <n v="0"/>
    <n v="0"/>
    <x v="0"/>
    <n v="0"/>
    <n v="0"/>
    <n v="0"/>
    <n v="0"/>
  </r>
  <r>
    <n v="1588"/>
    <x v="10"/>
    <s v="PE600057"/>
    <s v="70167 SKTFC-REF CUSH 01 VANILLA 11G"/>
    <x v="1"/>
    <n v="9520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89488"/>
    <n v="0"/>
    <n v="0"/>
    <n v="0"/>
    <n v="0"/>
    <n v="0"/>
    <n v="0"/>
    <x v="0"/>
    <n v="0"/>
    <n v="0"/>
    <n v="0"/>
    <n v="0"/>
  </r>
  <r>
    <n v="1589"/>
    <x v="10"/>
    <s v="PE600058"/>
    <s v="70181 SKTFC-REF CUSH 02 IVORY 11G"/>
    <x v="4"/>
    <n v="9520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89488"/>
    <n v="0"/>
    <n v="0"/>
    <n v="0"/>
    <n v="0"/>
    <n v="0"/>
    <n v="0"/>
    <x v="0"/>
    <n v="0"/>
    <n v="0"/>
    <n v="0"/>
    <n v="0"/>
  </r>
  <r>
    <n v="1590"/>
    <x v="10"/>
    <s v="PE600059"/>
    <s v="70204 SKTFC-REF CUSH 03 PETAL 11G"/>
    <x v="4"/>
    <n v="9520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89488"/>
    <n v="0"/>
    <n v="0"/>
    <n v="0"/>
    <n v="0"/>
    <n v="0"/>
    <n v="0"/>
    <x v="0"/>
    <n v="0"/>
    <n v="0"/>
    <n v="0"/>
    <n v="0"/>
  </r>
  <r>
    <n v="1591"/>
    <x v="10"/>
    <s v="PE600060"/>
    <s v="70495 SKTFC-REF CUSH 03A ALMOND 11G"/>
    <x v="1"/>
    <n v="136216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8043"/>
    <n v="0"/>
    <n v="0"/>
    <n v="0"/>
    <n v="0"/>
    <n v="0"/>
    <n v="0"/>
    <x v="0"/>
    <n v="0"/>
    <n v="0"/>
    <n v="0"/>
    <n v="0"/>
  </r>
  <r>
    <n v="1592"/>
    <x v="10"/>
    <s v="PE600061"/>
    <s v="70228 SKTFC-REF CUSH 04 BEIGE 11G"/>
    <x v="1"/>
    <n v="136216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8043"/>
    <n v="0"/>
    <n v="0"/>
    <n v="0"/>
    <n v="0"/>
    <n v="0"/>
    <n v="0"/>
    <x v="0"/>
    <n v="0"/>
    <n v="0"/>
    <n v="0"/>
    <n v="0"/>
  </r>
  <r>
    <n v="1593"/>
    <x v="10"/>
    <s v="PE600062"/>
    <s v="70242 SKTFC-REF CUSH 05 SAND 11G"/>
    <x v="1"/>
    <n v="136216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8043"/>
    <n v="0"/>
    <n v="0"/>
    <n v="0"/>
    <n v="0"/>
    <n v="0"/>
    <n v="0"/>
    <x v="0"/>
    <n v="0"/>
    <n v="0"/>
    <n v="0"/>
    <n v="0"/>
  </r>
  <r>
    <n v="1594"/>
    <x v="10"/>
    <s v="PE600063"/>
    <s v="70518 SKTFC-REF CUSH 06 HONEY 11G"/>
    <x v="1"/>
    <n v="95200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89488"/>
    <n v="0"/>
    <n v="0"/>
    <n v="0"/>
    <n v="0"/>
    <n v="0"/>
    <n v="0"/>
    <x v="0"/>
    <n v="0"/>
    <n v="0"/>
    <n v="0"/>
    <n v="0"/>
  </r>
  <r>
    <n v="1595"/>
    <x v="10"/>
    <s v="PE600064"/>
    <s v="71188 SKTFC DAILY SUNSCRN SPF35 13G"/>
    <x v="1"/>
    <n v="26422"/>
    <n v="0"/>
    <n v="0"/>
    <n v="0"/>
    <n v="0"/>
    <n v="0"/>
    <n v="0"/>
    <n v="0"/>
    <n v="0"/>
    <n v="0"/>
    <n v="360"/>
    <n v="45"/>
    <n v="0"/>
    <n v="0"/>
    <n v="0"/>
    <n v="0"/>
    <n v="0"/>
    <n v="0"/>
    <n v="0"/>
    <n v="0"/>
    <n v="0"/>
    <n v="0"/>
    <n v="0"/>
    <n v="0"/>
    <n v="0"/>
    <n v="24837"/>
    <n v="0"/>
    <n v="0"/>
    <n v="0"/>
    <n v="0"/>
    <n v="0"/>
    <n v="0"/>
    <x v="0"/>
    <n v="0"/>
    <n v="0"/>
    <n v="0"/>
    <n v="0"/>
  </r>
  <r>
    <n v="1596"/>
    <x v="10"/>
    <s v="PE600065"/>
    <s v="71133 SKTFC-ICESORBET MU REMOV 100G"/>
    <x v="1"/>
    <n v="79207"/>
    <n v="0"/>
    <n v="0"/>
    <n v="0"/>
    <n v="48"/>
    <n v="0"/>
    <n v="0"/>
    <n v="0"/>
    <n v="0"/>
    <n v="0"/>
    <n v="12"/>
    <n v="45"/>
    <n v="48"/>
    <n v="9999"/>
    <n v="0"/>
    <n v="0"/>
    <n v="0"/>
    <n v="0"/>
    <n v="9999"/>
    <n v="0"/>
    <n v="0"/>
    <n v="0"/>
    <n v="0"/>
    <n v="0"/>
    <n v="3801936"/>
    <n v="74455"/>
    <n v="0"/>
    <n v="0"/>
    <n v="0"/>
    <n v="0"/>
    <n v="0"/>
    <n v="3573840"/>
    <x v="0"/>
    <n v="0"/>
    <n v="0"/>
    <n v="0"/>
    <n v="0"/>
  </r>
  <r>
    <n v="1597"/>
    <x v="10"/>
    <s v="PE600066"/>
    <s v="71140 SKTFC-LACTIC AS EXFO SRM 20ML"/>
    <x v="1"/>
    <n v="111135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04467"/>
    <n v="0"/>
    <n v="0"/>
    <n v="0"/>
    <n v="0"/>
    <n v="0"/>
    <n v="0"/>
    <x v="0"/>
    <n v="0"/>
    <n v="0"/>
    <n v="0"/>
    <n v="0"/>
  </r>
  <r>
    <n v="1598"/>
    <x v="10"/>
    <s v="PE600067"/>
    <s v="70983 SKTFC-DAILY SUNSCR SPF35 30G"/>
    <x v="3"/>
    <n v="71207"/>
    <n v="-31.000000000000298"/>
    <n v="0"/>
    <n v="-27.666666666666668"/>
    <n v="0"/>
    <n v="0"/>
    <n v="0"/>
    <n v="0"/>
    <n v="0"/>
    <n v="0"/>
    <n v="12"/>
    <n v="45"/>
    <n v="0"/>
    <n v="0"/>
    <n v="0"/>
    <n v="0"/>
    <n v="0"/>
    <n v="0"/>
    <n v="0"/>
    <n v="0"/>
    <n v="-2207417.0000000214"/>
    <n v="0"/>
    <n v="-1970060.3333333335"/>
    <n v="0"/>
    <n v="0"/>
    <n v="66935"/>
    <n v="0"/>
    <n v="-2074985.00000002"/>
    <n v="0"/>
    <n v="-1851868.3333333335"/>
    <n v="0"/>
    <n v="0"/>
    <x v="0"/>
    <n v="0"/>
    <n v="0"/>
    <n v="0"/>
    <n v="0"/>
  </r>
  <r>
    <n v="1599"/>
    <x v="10"/>
    <s v="PE600068"/>
    <s v="70020 SKTFC-GENT-A RETINOL SRM 20ML"/>
    <x v="4"/>
    <n v="10446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98199"/>
    <n v="0"/>
    <n v="0"/>
    <n v="0"/>
    <n v="0"/>
    <n v="0"/>
    <n v="0"/>
    <x v="0"/>
    <n v="0"/>
    <n v="0"/>
    <n v="0"/>
    <n v="0"/>
  </r>
  <r>
    <n v="1600"/>
    <x v="10"/>
    <s v="PE600070"/>
    <s v="71249 SKTFC PS VELV CUSH 01 VANILLA"/>
    <x v="4"/>
    <n v="135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95"/>
    <n v="0"/>
    <n v="0"/>
    <n v="0"/>
    <n v="0"/>
    <n v="0"/>
    <n v="0"/>
    <x v="0"/>
    <n v="0"/>
    <n v="0"/>
    <n v="0"/>
    <n v="0"/>
  </r>
  <r>
    <n v="1601"/>
    <x v="10"/>
    <s v="PE600071"/>
    <s v="71256 SKTFC PS VELV CUSH 02 IVORY"/>
    <x v="3"/>
    <n v="135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95"/>
    <n v="0"/>
    <n v="0"/>
    <n v="0"/>
    <n v="0"/>
    <n v="0"/>
    <n v="0"/>
    <x v="0"/>
    <n v="0"/>
    <n v="0"/>
    <n v="0"/>
    <n v="0"/>
  </r>
  <r>
    <n v="1602"/>
    <x v="10"/>
    <s v="PE600072"/>
    <s v="71263 SKTFC PS VELV CUSH 03 PETAL"/>
    <x v="3"/>
    <n v="135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95"/>
    <n v="0"/>
    <n v="0"/>
    <n v="0"/>
    <n v="0"/>
    <n v="0"/>
    <n v="0"/>
    <x v="0"/>
    <n v="0"/>
    <n v="0"/>
    <n v="0"/>
    <n v="0"/>
  </r>
  <r>
    <n v="1603"/>
    <x v="10"/>
    <s v="PE600073"/>
    <s v="71270 SKTFC PS VELV CUSH 03A ALMOND"/>
    <x v="4"/>
    <n v="135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95"/>
    <n v="0"/>
    <n v="0"/>
    <n v="0"/>
    <n v="0"/>
    <n v="0"/>
    <n v="0"/>
    <x v="0"/>
    <n v="0"/>
    <n v="0"/>
    <n v="0"/>
    <n v="0"/>
  </r>
  <r>
    <n v="1604"/>
    <x v="10"/>
    <s v="PE600074"/>
    <s v="71287 SKTFC PS VELV CUSH 04 BEIGE"/>
    <x v="4"/>
    <n v="135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27095"/>
    <n v="0"/>
    <n v="0"/>
    <n v="0"/>
    <n v="0"/>
    <n v="0"/>
    <n v="0"/>
    <x v="0"/>
    <n v="0"/>
    <n v="0"/>
    <n v="0"/>
    <n v="0"/>
  </r>
  <r>
    <n v="1605"/>
    <x v="10"/>
    <s v="PE600075"/>
    <s v="71843 SKTFC 12% PEELING SOLUTN 30ML"/>
    <x v="3"/>
    <n v="111135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04467"/>
    <n v="0"/>
    <n v="0"/>
    <n v="0"/>
    <n v="0"/>
    <n v="0"/>
    <n v="0"/>
    <x v="0"/>
    <n v="0"/>
    <n v="0"/>
    <n v="0"/>
    <n v="0"/>
  </r>
  <r>
    <n v="1606"/>
    <x v="10"/>
    <s v="PE600076"/>
    <s v="71409 SKTFC RETINOL RENEW MOIS 30GR"/>
    <x v="4"/>
    <n v="111135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104467"/>
    <n v="0"/>
    <n v="0"/>
    <n v="0"/>
    <n v="0"/>
    <n v="0"/>
    <n v="0"/>
    <x v="0"/>
    <n v="0"/>
    <n v="0"/>
    <n v="0"/>
    <n v="0"/>
  </r>
  <r>
    <n v="1607"/>
    <x v="10"/>
    <s v="PE600077"/>
    <s v="71423 SKTFC NIAC CLAY STICK 40GR"/>
    <x v="4"/>
    <n v="79207"/>
    <n v="0"/>
    <n v="0"/>
    <n v="0"/>
    <n v="0"/>
    <n v="0"/>
    <n v="0"/>
    <n v="0"/>
    <n v="0"/>
    <n v="0"/>
    <n v="12"/>
    <n v="45"/>
    <n v="0"/>
    <n v="0"/>
    <n v="0"/>
    <n v="0"/>
    <n v="0"/>
    <n v="0"/>
    <n v="0"/>
    <n v="0"/>
    <n v="0"/>
    <n v="0"/>
    <n v="0"/>
    <n v="0"/>
    <n v="0"/>
    <n v="74455"/>
    <n v="0"/>
    <n v="0"/>
    <n v="0"/>
    <n v="0"/>
    <n v="0"/>
    <n v="0"/>
    <x v="0"/>
    <n v="0"/>
    <n v="0"/>
    <n v="0"/>
    <n v="0"/>
  </r>
  <r>
    <n v="1608"/>
    <x v="11"/>
    <s v="PE700001"/>
    <s v="BLUEBERRY 5% CERAMIDE MOIST 30GR"/>
    <x v="3"/>
    <n v="34594.589999999997"/>
    <n v="47060.666666666795"/>
    <n v="63397.557216791218"/>
    <n v="53477.852405597077"/>
    <n v="76131"/>
    <n v="1920"/>
    <n v="0"/>
    <n v="0"/>
    <n v="56832"/>
    <n v="40128"/>
    <n v="96"/>
    <n v="45"/>
    <n v="78051"/>
    <n v="43.785041744775299"/>
    <n v="8731.335825186834"/>
    <n v="0"/>
    <n v="8731.335825186834"/>
    <n v="8736"/>
    <n v="45.002616508294565"/>
    <n v="302218338.23999995"/>
    <n v="1628044468.4600043"/>
    <n v="2193212498.9164329"/>
    <n v="1850044378.0521445"/>
    <n v="1966079738.8799999"/>
    <n v="2700142344.0899997"/>
    <n v="32518.92"/>
    <n v="284085285.12"/>
    <n v="1530362054.4800041"/>
    <n v="2061620091.3282561"/>
    <n v="1739042004.1494188"/>
    <n v="1848115261.4399998"/>
    <n v="2538134224.9200001"/>
    <x v="0"/>
    <n v="8736"/>
    <n v="0"/>
    <n v="0"/>
    <n v="0"/>
  </r>
  <r>
    <n v="1609"/>
    <x v="11"/>
    <s v="PE700002"/>
    <s v="CENTELLA ALL SOOTH GEL MOIST 55 G"/>
    <x v="3"/>
    <n v="35316"/>
    <n v="54130.666666666824"/>
    <n v="75213.972972972901"/>
    <n v="57522.657657657626"/>
    <n v="93761"/>
    <n v="9216"/>
    <n v="0"/>
    <n v="0"/>
    <n v="41184"/>
    <n v="29664"/>
    <n v="96"/>
    <n v="45"/>
    <n v="102977"/>
    <n v="53.705967801171987"/>
    <n v="17336.959459459351"/>
    <n v="0"/>
    <n v="17336.959459459351"/>
    <n v="17376"/>
    <n v="45.020360954516221"/>
    <n v="613650816"/>
    <n v="1911678624.0000055"/>
    <n v="2656256669.5135112"/>
    <n v="2031470177.8378367"/>
    <n v="1454454144"/>
    <n v="3636735732"/>
    <n v="33197"/>
    <n v="576831072"/>
    <n v="1796975741.3333385"/>
    <n v="2496878260.7837815"/>
    <n v="1909579666.2612603"/>
    <n v="1367185248"/>
    <n v="3418527469"/>
    <x v="0"/>
    <n v="17376"/>
    <n v="0"/>
    <n v="0"/>
    <n v="0"/>
  </r>
  <r>
    <n v="1610"/>
    <x v="11"/>
    <s v="PE700003"/>
    <s v="REAL MUGWORT CLAY MASK STICK 25 G"/>
    <x v="3"/>
    <n v="32433"/>
    <n v="14078.33333333333"/>
    <n v="21284.465784933964"/>
    <n v="15146.155261644659"/>
    <n v="48717"/>
    <n v="1008"/>
    <n v="2304"/>
    <n v="864"/>
    <n v="0"/>
    <n v="2016"/>
    <n v="144"/>
    <n v="45"/>
    <n v="50589"/>
    <n v="100.20166661326054"/>
    <n v="0"/>
    <n v="3456"/>
    <n v="0"/>
    <n v="0"/>
    <n v="58.043510796318046"/>
    <n v="0"/>
    <n v="456602584.99999988"/>
    <n v="690319078.80276322"/>
    <n v="491235253.60092121"/>
    <n v="0"/>
    <n v="1640753037"/>
    <n v="30487"/>
    <n v="0"/>
    <n v="429206148.33333325"/>
    <n v="648899508.3852818"/>
    <n v="461760835.4617607"/>
    <n v="0"/>
    <n v="1542306843"/>
    <x v="0"/>
    <n v="-3456"/>
    <n v="720"/>
    <n v="1008"/>
    <n v="1440"/>
  </r>
  <r>
    <n v="1611"/>
    <x v="11"/>
    <s v="PE700004"/>
    <s v="CENTELLA OVERNIGHT ACNE SPOT 5 G"/>
    <x v="1"/>
    <n v="28109"/>
    <n v="0"/>
    <n v="0"/>
    <n v="0"/>
    <n v="0"/>
    <n v="0"/>
    <n v="0"/>
    <n v="1100"/>
    <n v="0"/>
    <n v="0"/>
    <n v="96"/>
    <n v="45"/>
    <n v="1100"/>
    <n v="9999"/>
    <n v="0"/>
    <n v="0"/>
    <n v="0"/>
    <n v="0"/>
    <n v="9999"/>
    <n v="0"/>
    <n v="0"/>
    <n v="0"/>
    <n v="0"/>
    <n v="0"/>
    <n v="30919900"/>
    <n v="26422"/>
    <n v="0"/>
    <n v="0"/>
    <n v="0"/>
    <n v="0"/>
    <n v="0"/>
    <n v="29064200"/>
    <x v="0"/>
    <n v="0"/>
    <n v="0"/>
    <n v="0"/>
    <n v="0"/>
  </r>
  <r>
    <n v="1612"/>
    <x v="11"/>
    <s v="PE700005"/>
    <s v="21349 G2G POM10% NIACIAMIDE SR 17ML"/>
    <x v="1"/>
    <n v="28109"/>
    <n v="20025.33333333335"/>
    <n v="17494.70845313395"/>
    <n v="14413.902817711318"/>
    <n v="45111"/>
    <n v="0"/>
    <n v="0"/>
    <n v="0"/>
    <n v="0"/>
    <n v="8160"/>
    <n v="96"/>
    <n v="45"/>
    <n v="45111"/>
    <n v="93.890601117212597"/>
    <n v="0"/>
    <n v="8160"/>
    <n v="0"/>
    <n v="0"/>
    <n v="57.478446808172073"/>
    <n v="0"/>
    <n v="562892094.6666671"/>
    <n v="491758759.9091422"/>
    <n v="405160394.30304742"/>
    <n v="0"/>
    <n v="1268025099"/>
    <n v="26422"/>
    <n v="0"/>
    <n v="529109357.33333379"/>
    <n v="462245186.74870521"/>
    <n v="380844140.24956846"/>
    <n v="0"/>
    <n v="1191922842"/>
    <x v="0"/>
    <n v="-8160"/>
    <n v="0"/>
    <n v="0"/>
    <n v="0"/>
  </r>
  <r>
    <n v="1613"/>
    <x v="11"/>
    <s v="PE700006"/>
    <s v="79018 G2G POM5% NIACIAMIDE MOIS 30G"/>
    <x v="3"/>
    <n v="32433"/>
    <n v="92287.33333333327"/>
    <n v="153893.55951696326"/>
    <n v="113946.85317232109"/>
    <n v="102110"/>
    <n v="0"/>
    <n v="768"/>
    <n v="0"/>
    <n v="269952"/>
    <n v="158304"/>
    <n v="96"/>
    <n v="45"/>
    <n v="102110"/>
    <n v="26.883585765790222"/>
    <n v="0"/>
    <n v="0"/>
    <n v="0"/>
    <n v="0"/>
    <n v="57.43952581641777"/>
    <n v="0"/>
    <n v="2993155081.9999981"/>
    <n v="4991229815.8136692"/>
    <n v="3695638288.9378901"/>
    <n v="8755353216"/>
    <n v="3311733630"/>
    <n v="30487"/>
    <n v="0"/>
    <n v="2813563931.3333316"/>
    <n v="4691752948.993659"/>
    <n v="3473897712.6645532"/>
    <n v="8230026624"/>
    <n v="3113027570"/>
    <x v="0"/>
    <n v="0"/>
    <n v="0"/>
    <n v="0"/>
    <n v="0"/>
  </r>
  <r>
    <n v="1614"/>
    <x v="11"/>
    <s v="PE700007"/>
    <s v="53670 G2G CENT2% CERAMIDE TNR 40ML"/>
    <x v="4"/>
    <n v="28109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26422"/>
    <n v="0"/>
    <n v="0"/>
    <n v="0"/>
    <n v="0"/>
    <n v="0"/>
    <n v="0"/>
    <x v="0"/>
    <n v="0"/>
    <n v="0"/>
    <n v="0"/>
    <n v="0"/>
  </r>
  <r>
    <n v="1615"/>
    <x v="11"/>
    <s v="PE700008"/>
    <s v="97302 G2G CENT 2% SALICYLIC SR 17ML"/>
    <x v="1"/>
    <n v="28109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26422"/>
    <n v="0"/>
    <n v="0"/>
    <n v="0"/>
    <n v="0"/>
    <n v="0"/>
    <n v="0"/>
    <x v="0"/>
    <n v="0"/>
    <n v="0"/>
    <n v="0"/>
    <n v="0"/>
  </r>
  <r>
    <n v="1616"/>
    <x v="11"/>
    <s v="PE700009"/>
    <s v="07546 G2G BERRY PEPTIDE EYE CR 15GR"/>
    <x v="4"/>
    <n v="71352"/>
    <n v="0"/>
    <n v="0"/>
    <n v="0"/>
    <n v="0"/>
    <n v="0"/>
    <n v="0"/>
    <n v="0"/>
    <n v="0"/>
    <n v="0"/>
    <n v="144"/>
    <n v="45"/>
    <n v="0"/>
    <n v="0"/>
    <n v="0"/>
    <n v="0"/>
    <n v="0"/>
    <n v="0"/>
    <n v="0"/>
    <n v="0"/>
    <n v="0"/>
    <n v="0"/>
    <n v="0"/>
    <n v="0"/>
    <n v="0"/>
    <n v="67071"/>
    <n v="0"/>
    <n v="0"/>
    <n v="0"/>
    <n v="0"/>
    <n v="0"/>
    <n v="0"/>
    <x v="0"/>
    <n v="0"/>
    <n v="0"/>
    <n v="0"/>
    <n v="0"/>
  </r>
  <r>
    <n v="1617"/>
    <x v="11"/>
    <s v="PE700010"/>
    <s v="76543 G2G BB CERAMIDE GEL CLS 70ML"/>
    <x v="3"/>
    <n v="28109"/>
    <n v="63690.666666666613"/>
    <n v="100655.88269120168"/>
    <n v="83170.294230400585"/>
    <n v="139078"/>
    <n v="5382"/>
    <n v="4032"/>
    <n v="0"/>
    <n v="130656"/>
    <n v="54624"/>
    <n v="96"/>
    <n v="45"/>
    <n v="144460"/>
    <n v="52.107546812259564"/>
    <n v="0"/>
    <n v="0"/>
    <n v="0"/>
    <n v="0"/>
    <n v="62.928760414928021"/>
    <n v="0"/>
    <n v="1790280949.3333318"/>
    <n v="2829336206.566988"/>
    <n v="2337833800.5223298"/>
    <n v="3672609504"/>
    <n v="4060626140"/>
    <n v="26422"/>
    <n v="0"/>
    <n v="1682834794.6666653"/>
    <n v="2659529732.4669309"/>
    <n v="2197525514.1556444"/>
    <n v="3452192832"/>
    <n v="3816922120"/>
    <x v="0"/>
    <n v="0"/>
    <n v="0"/>
    <n v="0"/>
    <n v="0"/>
  </r>
  <r>
    <n v="1618"/>
    <x v="11"/>
    <s v="PE700011"/>
    <s v="69576 G2G JEJU TANGERINE  C SR 17ML"/>
    <x v="4"/>
    <n v="32433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30487"/>
    <n v="0"/>
    <n v="0"/>
    <n v="0"/>
    <n v="0"/>
    <n v="0"/>
    <n v="0"/>
    <x v="0"/>
    <n v="0"/>
    <n v="0"/>
    <n v="0"/>
    <n v="0"/>
  </r>
  <r>
    <n v="1619"/>
    <x v="11"/>
    <s v="PE700013"/>
    <s v="14944 G2G LIGHT SUNSCREEN SPF50 30G"/>
    <x v="4"/>
    <n v="35315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33196"/>
    <n v="0"/>
    <n v="0"/>
    <n v="0"/>
    <n v="0"/>
    <n v="0"/>
    <n v="0"/>
    <x v="0"/>
    <n v="0"/>
    <n v="0"/>
    <n v="0"/>
    <n v="0"/>
  </r>
  <r>
    <n v="1620"/>
    <x v="11"/>
    <s v="PE700014"/>
    <s v="38963 G2G YUJA SYM WHT 377 SRM 17ML"/>
    <x v="4"/>
    <n v="35315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33196"/>
    <n v="0"/>
    <n v="0"/>
    <n v="0"/>
    <n v="0"/>
    <n v="0"/>
    <n v="0"/>
    <x v="0"/>
    <n v="0"/>
    <n v="0"/>
    <n v="0"/>
    <n v="0"/>
  </r>
  <r>
    <n v="1621"/>
    <x v="11"/>
    <s v="PE700015"/>
    <s v="08936 G2G CENTELLA ALLA GELMOIS 30G"/>
    <x v="1"/>
    <n v="28108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26422"/>
    <n v="0"/>
    <n v="0"/>
    <n v="0"/>
    <n v="0"/>
    <n v="0"/>
    <n v="0"/>
    <x v="0"/>
    <n v="0"/>
    <n v="0"/>
    <n v="0"/>
    <n v="0"/>
  </r>
  <r>
    <n v="1622"/>
    <x v="11"/>
    <s v="PE700016"/>
    <s v="76489 G2G VOLCANO 3D CL STICK 25GR"/>
    <x v="1"/>
    <n v="32433"/>
    <n v="1760.333333333333"/>
    <n v="79"/>
    <n v="572.99999999999989"/>
    <n v="11569"/>
    <n v="0"/>
    <n v="0"/>
    <n v="288"/>
    <n v="0"/>
    <n v="0"/>
    <n v="144"/>
    <n v="45"/>
    <n v="11857"/>
    <n v="620.78534031413619"/>
    <n v="0"/>
    <n v="0"/>
    <n v="0"/>
    <n v="0"/>
    <n v="616.64921465968609"/>
    <n v="0"/>
    <n v="57092890.999999993"/>
    <n v="2562207"/>
    <n v="18584108.999999996"/>
    <n v="0"/>
    <n v="384558081"/>
    <n v="30487"/>
    <n v="0"/>
    <n v="53667282.333333321"/>
    <n v="2408473"/>
    <n v="17469050.999999996"/>
    <n v="0"/>
    <n v="361484359"/>
    <x v="0"/>
    <n v="0"/>
    <n v="0"/>
    <n v="0"/>
    <n v="0"/>
  </r>
  <r>
    <n v="1623"/>
    <x v="11"/>
    <s v="PE700017"/>
    <s v="29977 G2G CENTSALICY NGHT PATCH 12S"/>
    <x v="4"/>
    <n v="18019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16938"/>
    <n v="0"/>
    <n v="0"/>
    <n v="0"/>
    <n v="0"/>
    <n v="0"/>
    <n v="0"/>
    <x v="0"/>
    <n v="0"/>
    <n v="0"/>
    <n v="0"/>
    <n v="0"/>
  </r>
  <r>
    <n v="1624"/>
    <x v="11"/>
    <s v="PE700018"/>
    <s v="67450 G2G CENT SALICY DAY PATCH 18S"/>
    <x v="1"/>
    <n v="18019"/>
    <n v="0"/>
    <n v="0"/>
    <n v="0"/>
    <n v="158"/>
    <n v="0"/>
    <n v="0"/>
    <n v="0"/>
    <n v="0"/>
    <n v="0"/>
    <n v="96"/>
    <n v="45"/>
    <n v="158"/>
    <n v="9999"/>
    <n v="0"/>
    <n v="0"/>
    <n v="0"/>
    <n v="0"/>
    <n v="9999"/>
    <n v="0"/>
    <n v="0"/>
    <n v="0"/>
    <n v="0"/>
    <n v="0"/>
    <n v="2847002"/>
    <n v="16938"/>
    <n v="0"/>
    <n v="0"/>
    <n v="0"/>
    <n v="0"/>
    <n v="0"/>
    <n v="2676204"/>
    <x v="0"/>
    <n v="0"/>
    <n v="0"/>
    <n v="0"/>
    <n v="0"/>
  </r>
  <r>
    <n v="1625"/>
    <x v="11"/>
    <s v="PE700020"/>
    <s v="69651 G2G CHERY BLOS MCLR WTR 130ML"/>
    <x v="3"/>
    <n v="23063.06"/>
    <n v="45547.333333333307"/>
    <n v="73637.319723979308"/>
    <n v="53491.106574659781"/>
    <n v="82469"/>
    <n v="48"/>
    <n v="0"/>
    <n v="270"/>
    <n v="81648"/>
    <n v="53856"/>
    <n v="72"/>
    <n v="45"/>
    <n v="82787"/>
    <n v="46.430335041461916"/>
    <n v="0"/>
    <n v="0"/>
    <n v="0"/>
    <n v="0"/>
    <n v="50.923052124164172"/>
    <n v="0"/>
    <n v="1050460881.5066661"/>
    <n v="1698301923.0333183"/>
    <n v="1233668600.397773"/>
    <n v="1883052722.8800001"/>
    <n v="1909321548.22"/>
    <n v="21679.279999999999"/>
    <n v="0"/>
    <n v="987433392.58666599"/>
    <n v="1596404072.7456701"/>
    <n v="1159648676.9418902"/>
    <n v="1770069853.4399998"/>
    <n v="1794762553.3599999"/>
    <x v="0"/>
    <n v="0"/>
    <n v="0"/>
    <n v="0"/>
    <n v="0"/>
  </r>
  <r>
    <n v="1626"/>
    <x v="11"/>
    <s v="PE700021"/>
    <s v="76491 G2G YUJA SYMWHTE377 MOIS 30GR"/>
    <x v="2"/>
    <n v="35316"/>
    <n v="17578.333333333376"/>
    <n v="23452.6520989075"/>
    <n v="18522.884032969167"/>
    <n v="41267"/>
    <n v="2880"/>
    <n v="2784"/>
    <n v="1344"/>
    <n v="1248"/>
    <n v="3360"/>
    <n v="96"/>
    <n v="45"/>
    <n v="45491"/>
    <n v="73.678051299727201"/>
    <n v="4497.978148361246"/>
    <n v="3552"/>
    <n v="4497.978148361246"/>
    <n v="4512"/>
    <n v="45.022710046038931"/>
    <n v="159345792"/>
    <n v="620796420.00000155"/>
    <n v="828253861.52501726"/>
    <n v="654154172.50833905"/>
    <n v="44074368"/>
    <n v="1606560156"/>
    <n v="33197"/>
    <n v="149784864"/>
    <n v="583547931.66666806"/>
    <n v="778557691.72743225"/>
    <n v="614904181.24247742"/>
    <n v="41429856"/>
    <n v="1510164727"/>
    <x v="0"/>
    <n v="960"/>
    <n v="0"/>
    <n v="288"/>
    <n v="1152"/>
  </r>
  <r>
    <n v="1627"/>
    <x v="11"/>
    <s v="PE700022"/>
    <s v="87342 G2G MILK AMINO ACIDS CL 80GR"/>
    <x v="3"/>
    <n v="30271"/>
    <n v="59800.333333333336"/>
    <n v="66392.810810810828"/>
    <n v="59762.936936936945"/>
    <n v="92236"/>
    <n v="4272"/>
    <n v="48"/>
    <n v="108"/>
    <n v="49728"/>
    <n v="31872"/>
    <n v="48"/>
    <n v="45"/>
    <n v="96616"/>
    <n v="48.499624492325978"/>
    <n v="9693.2162162162422"/>
    <n v="0"/>
    <n v="9693.2162162162422"/>
    <n v="9696"/>
    <n v="45.001397413142541"/>
    <n v="293507616"/>
    <n v="1810215890.3333335"/>
    <n v="2009776776.0540545"/>
    <n v="1809083864.0180182"/>
    <n v="1505316288"/>
    <n v="2924662936"/>
    <n v="28455"/>
    <n v="275899680"/>
    <n v="1701618485"/>
    <n v="1889207431.6216221"/>
    <n v="1700554370.5405407"/>
    <n v="1415010240"/>
    <n v="2749208280"/>
    <x v="0"/>
    <n v="9696"/>
    <n v="0"/>
    <n v="0"/>
    <n v="0"/>
  </r>
  <r>
    <n v="1628"/>
    <x v="11"/>
    <s v="PE700023"/>
    <s v="37891 G2G PEACH RETINOL MOIST 30GR"/>
    <x v="3"/>
    <n v="35315"/>
    <n v="35894.66666666673"/>
    <n v="46645.521564117284"/>
    <n v="37545.507188039097"/>
    <n v="75429"/>
    <n v="5856"/>
    <n v="0"/>
    <n v="0"/>
    <n v="11616"/>
    <n v="14304"/>
    <n v="96"/>
    <n v="45"/>
    <n v="81285"/>
    <n v="64.949182542321623"/>
    <n v="10062.782346175925"/>
    <n v="2688"/>
    <n v="10062.782346175925"/>
    <n v="10080"/>
    <n v="45.013757428076154"/>
    <n v="355975200"/>
    <n v="1267620153.3333356"/>
    <n v="1647286594.0368018"/>
    <n v="1325919586.3456006"/>
    <n v="410219040"/>
    <n v="2870579775"/>
    <n v="33196"/>
    <n v="334615680"/>
    <n v="1191559354.6666687"/>
    <n v="1548444733.8424373"/>
    <n v="1246360656.6141458"/>
    <n v="385604736"/>
    <n v="2698336860"/>
    <x v="0"/>
    <n v="7392"/>
    <n v="0"/>
    <n v="0"/>
    <n v="0"/>
  </r>
  <r>
    <n v="1629"/>
    <x v="11"/>
    <s v="PE700024"/>
    <s v="98705 G2G CENTELLA SALI GEL CL 70G"/>
    <x v="3"/>
    <n v="30126.13"/>
    <n v="62332.666666666715"/>
    <n v="100781.54974123063"/>
    <n v="79142.516580410214"/>
    <n v="65437"/>
    <n v="0"/>
    <n v="0"/>
    <n v="0"/>
    <n v="185376"/>
    <n v="108960"/>
    <n v="96"/>
    <n v="45"/>
    <n v="65437"/>
    <n v="24.804745727354337"/>
    <n v="0"/>
    <n v="0"/>
    <n v="0"/>
    <n v="0"/>
    <n v="56.871372079633609"/>
    <n v="0"/>
    <n v="1877842019.2466681"/>
    <n v="3036158069.1057806"/>
    <n v="2384257743.0285935"/>
    <n v="5584661474.8800001"/>
    <n v="1971363568.8100002"/>
    <n v="28318.560000000001"/>
    <n v="0"/>
    <n v="1765171360.9600015"/>
    <n v="2853988363.2400241"/>
    <n v="2241202104.3333416"/>
    <n v="5249581378.5600004"/>
    <n v="1853081610.72"/>
    <x v="0"/>
    <n v="0"/>
    <n v="0"/>
    <n v="0"/>
    <n v="0"/>
  </r>
  <r>
    <n v="1630"/>
    <x v="11"/>
    <s v="PE700025"/>
    <s v="07356 G2G MUGWORT SA MCLR WTR 130ML"/>
    <x v="2"/>
    <n v="23063.06"/>
    <n v="23913.666666666672"/>
    <n v="30074.387004025266"/>
    <n v="22840.129001341753"/>
    <n v="58193"/>
    <n v="2952"/>
    <n v="1080"/>
    <n v="3960"/>
    <n v="0"/>
    <n v="2304"/>
    <n v="72"/>
    <n v="45"/>
    <n v="65105"/>
    <n v="85.513965349550418"/>
    <n v="0"/>
    <n v="0"/>
    <n v="0"/>
    <n v="0"/>
    <n v="46.011928821308551"/>
    <n v="0"/>
    <n v="551522329.15333343"/>
    <n v="693607391.93705499"/>
    <n v="526763265.56568497"/>
    <n v="0"/>
    <n v="1501520521.3000002"/>
    <n v="21679.279999999999"/>
    <n v="0"/>
    <n v="518431075.4933334"/>
    <n v="651991056.68862486"/>
    <n v="495157551.85620821"/>
    <n v="0"/>
    <n v="1411429524.3999999"/>
    <x v="0"/>
    <n v="0"/>
    <n v="0"/>
    <n v="0"/>
    <n v="0"/>
  </r>
  <r>
    <n v="1631"/>
    <x v="11"/>
    <s v="PE700030"/>
    <s v="79644 G2G BB AHABHAPHA XFO TR 80ML"/>
    <x v="1"/>
    <n v="32433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30487"/>
    <n v="0"/>
    <n v="0"/>
    <n v="0"/>
    <n v="0"/>
    <n v="0"/>
    <n v="0"/>
    <x v="0"/>
    <n v="0"/>
    <n v="0"/>
    <n v="0"/>
    <n v="0"/>
  </r>
  <r>
    <n v="1632"/>
    <x v="11"/>
    <s v="PE700031"/>
    <s v="37530 G2G POME NIAC CLAY STICK 25GR"/>
    <x v="1"/>
    <n v="32433"/>
    <n v="3302.3333333333235"/>
    <n v="1688"/>
    <n v="1984.9999999999998"/>
    <n v="16153"/>
    <n v="0"/>
    <n v="0"/>
    <n v="288"/>
    <n v="0"/>
    <n v="0"/>
    <n v="144"/>
    <n v="45"/>
    <n v="16441"/>
    <n v="248.47858942065497"/>
    <n v="0"/>
    <n v="0"/>
    <n v="0"/>
    <n v="0"/>
    <n v="222.96725440806048"/>
    <n v="0"/>
    <n v="107104576.99999969"/>
    <n v="54746904"/>
    <n v="64379504.999999993"/>
    <n v="0"/>
    <n v="533230953"/>
    <n v="30487"/>
    <n v="0"/>
    <n v="100678236.33333303"/>
    <n v="51462056"/>
    <n v="60516694.999999993"/>
    <n v="0"/>
    <n v="501236767"/>
    <x v="0"/>
    <n v="0"/>
    <n v="0"/>
    <n v="0"/>
    <n v="0"/>
  </r>
  <r>
    <n v="1633"/>
    <x v="11"/>
    <s v="PE700032"/>
    <s v="73345 G2G CHERRY BLOS MIC WTR 300ML"/>
    <x v="3"/>
    <n v="35316"/>
    <n v="101970.66666666674"/>
    <n v="137377.17078780857"/>
    <n v="115049.05692926951"/>
    <n v="125681"/>
    <n v="816"/>
    <n v="0"/>
    <n v="89"/>
    <n v="192096"/>
    <n v="116544"/>
    <n v="48"/>
    <n v="45"/>
    <n v="126586"/>
    <n v="33.008354013146729"/>
    <n v="0"/>
    <n v="0"/>
    <n v="0"/>
    <n v="0"/>
    <n v="47.276744560449984"/>
    <n v="0"/>
    <n v="3601196064.0000029"/>
    <n v="4851612163.5422478"/>
    <n v="4063072494.514082"/>
    <n v="6784062336"/>
    <n v="4470511176"/>
    <n v="33197"/>
    <n v="0"/>
    <n v="3385120221.3333359"/>
    <n v="4560509938.6428814"/>
    <n v="3819283542.88096"/>
    <n v="6377010912"/>
    <n v="4202275442"/>
    <x v="0"/>
    <n v="0"/>
    <n v="0"/>
    <n v="0"/>
    <n v="0"/>
  </r>
  <r>
    <n v="1634"/>
    <x v="11"/>
    <s v="PE700033"/>
    <s v="76543 G2G TREMELLA SNS CLS GEL 70ML"/>
    <x v="4"/>
    <n v="25946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24389"/>
    <n v="0"/>
    <n v="0"/>
    <n v="0"/>
    <n v="0"/>
    <n v="0"/>
    <n v="0"/>
    <x v="0"/>
    <n v="0"/>
    <n v="0"/>
    <n v="0"/>
    <n v="0"/>
  </r>
  <r>
    <n v="1635"/>
    <x v="11"/>
    <s v="PE700035"/>
    <s v="00325 G2G VITAC PWRBRIGHT GL FW 80G"/>
    <x v="1"/>
    <n v="30271"/>
    <n v="-18134.666666666701"/>
    <n v="0"/>
    <n v="-15188.666666666666"/>
    <n v="4518"/>
    <n v="0"/>
    <n v="0"/>
    <n v="0"/>
    <n v="0"/>
    <n v="96"/>
    <n v="48"/>
    <n v="45"/>
    <n v="4518"/>
    <n v="9999"/>
    <n v="0"/>
    <n v="96"/>
    <n v="0"/>
    <n v="0"/>
    <n v="9999"/>
    <n v="0"/>
    <n v="-548954494.6666677"/>
    <n v="0"/>
    <n v="-459776128.66666663"/>
    <n v="0"/>
    <n v="136764378"/>
    <n v="28455"/>
    <n v="0"/>
    <n v="-516021940.00000095"/>
    <n v="0"/>
    <n v="-432193510"/>
    <n v="0"/>
    <n v="128559690"/>
    <x v="0"/>
    <n v="-96"/>
    <n v="0"/>
    <n v="0"/>
    <n v="0"/>
  </r>
  <r>
    <n v="1636"/>
    <x v="11"/>
    <s v="PE700036"/>
    <s v="34536 G2G CRMY BERRY BODY SRM 180ML"/>
    <x v="3"/>
    <n v="28109"/>
    <n v="28360"/>
    <n v="47990.91431857369"/>
    <n v="31295.304772857897"/>
    <n v="124572"/>
    <n v="1488"/>
    <n v="240"/>
    <n v="240"/>
    <n v="0"/>
    <n v="288"/>
    <n v="48"/>
    <n v="45"/>
    <n v="126300"/>
    <n v="121.0724748488841"/>
    <n v="0"/>
    <n v="288"/>
    <n v="0"/>
    <n v="0"/>
    <n v="75.067892372158326"/>
    <n v="0"/>
    <n v="797171240"/>
    <n v="1348976610.5807879"/>
    <n v="879679721.86026263"/>
    <n v="0"/>
    <n v="3550166700"/>
    <n v="26422"/>
    <n v="0"/>
    <n v="749327920"/>
    <n v="1268015938.1253541"/>
    <n v="826884542.70845139"/>
    <n v="0"/>
    <n v="3337098600"/>
    <x v="0"/>
    <n v="-288"/>
    <n v="0"/>
    <n v="48"/>
    <n v="96"/>
  </r>
  <r>
    <n v="1637"/>
    <x v="11"/>
    <s v="PE700037"/>
    <s v="34505 G2G TROPICAL V BODY SRM 180ML"/>
    <x v="1"/>
    <n v="28109"/>
    <n v="-9434.3333333333376"/>
    <n v="0"/>
    <n v="-9431.3333333333339"/>
    <n v="2469"/>
    <n v="0"/>
    <n v="0"/>
    <n v="0"/>
    <n v="0"/>
    <n v="0"/>
    <n v="48"/>
    <n v="45"/>
    <n v="2469"/>
    <n v="9999"/>
    <n v="0"/>
    <n v="0"/>
    <n v="0"/>
    <n v="0"/>
    <n v="9999"/>
    <n v="0"/>
    <n v="-265189675.66666678"/>
    <n v="0"/>
    <n v="-265105348.66666669"/>
    <n v="0"/>
    <n v="69401121"/>
    <n v="26422"/>
    <n v="0"/>
    <n v="-249273955.33333343"/>
    <n v="0"/>
    <n v="-249194689.33333334"/>
    <n v="0"/>
    <n v="65235918"/>
    <x v="0"/>
    <n v="0"/>
    <n v="0"/>
    <n v="0"/>
    <n v="0"/>
  </r>
  <r>
    <n v="1638"/>
    <x v="11"/>
    <s v="PE700038"/>
    <s v="35375 G2G PRFCT CV CUSH 00 AFFOGATO"/>
    <x v="4"/>
    <n v="71351.350000000006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67070.27"/>
    <n v="0"/>
    <n v="0"/>
    <n v="0"/>
    <n v="0"/>
    <n v="0"/>
    <n v="0"/>
    <x v="0"/>
    <n v="0"/>
    <n v="0"/>
    <n v="0"/>
    <n v="0"/>
  </r>
  <r>
    <n v="1639"/>
    <x v="11"/>
    <s v="PE700039"/>
    <s v="98397 G2G PRFCT CV CUSH 01 BTTR CRM"/>
    <x v="1"/>
    <n v="71351.350000000006"/>
    <n v="0"/>
    <n v="0"/>
    <n v="0"/>
    <n v="48"/>
    <n v="0"/>
    <n v="0"/>
    <n v="0"/>
    <n v="0"/>
    <n v="0"/>
    <n v="96"/>
    <n v="45"/>
    <n v="48"/>
    <n v="9999"/>
    <n v="0"/>
    <n v="0"/>
    <n v="0"/>
    <n v="0"/>
    <n v="9999"/>
    <n v="0"/>
    <n v="0"/>
    <n v="0"/>
    <n v="0"/>
    <n v="0"/>
    <n v="3424864.8000000003"/>
    <n v="67070.27"/>
    <n v="0"/>
    <n v="0"/>
    <n v="0"/>
    <n v="0"/>
    <n v="0"/>
    <n v="3219372.96"/>
    <x v="0"/>
    <n v="0"/>
    <n v="0"/>
    <n v="0"/>
    <n v="0"/>
  </r>
  <r>
    <n v="1640"/>
    <x v="11"/>
    <s v="PE700040"/>
    <s v="53909 G2G PRFCT CV CUSH 02 PRALINE"/>
    <x v="1"/>
    <n v="71351.350000000006"/>
    <n v="58.666666666667297"/>
    <n v="0"/>
    <n v="31.999999999999996"/>
    <n v="752"/>
    <n v="0"/>
    <n v="0"/>
    <n v="320"/>
    <n v="0"/>
    <n v="0"/>
    <n v="96"/>
    <n v="45"/>
    <n v="1072"/>
    <n v="1005.0000000000002"/>
    <n v="0"/>
    <n v="0"/>
    <n v="0"/>
    <n v="0"/>
    <n v="1005.0000000000002"/>
    <n v="0"/>
    <n v="4185945.8666667119"/>
    <n v="0"/>
    <n v="2283243.1999999997"/>
    <n v="0"/>
    <n v="76488647.200000003"/>
    <n v="67070.27"/>
    <n v="0"/>
    <n v="3934789.1733333757"/>
    <n v="0"/>
    <n v="2146248.6399999997"/>
    <n v="0"/>
    <n v="71899329.439999998"/>
    <x v="0"/>
    <n v="0"/>
    <n v="0"/>
    <n v="0"/>
    <n v="0"/>
  </r>
  <r>
    <n v="1641"/>
    <x v="11"/>
    <s v="PE700041"/>
    <s v="47652 G2G PRFCT CV CUSH 03 CUSTARD"/>
    <x v="1"/>
    <n v="71351.350000000006"/>
    <n v="48.000000000000597"/>
    <n v="0"/>
    <n v="26.666666666666664"/>
    <n v="608"/>
    <n v="0"/>
    <n v="0"/>
    <n v="416"/>
    <n v="0"/>
    <n v="0"/>
    <n v="96"/>
    <n v="45"/>
    <n v="1024"/>
    <n v="1152.0000000000002"/>
    <n v="0"/>
    <n v="0"/>
    <n v="0"/>
    <n v="0"/>
    <n v="1152.0000000000002"/>
    <n v="0"/>
    <n v="3424864.8000000427"/>
    <n v="0"/>
    <n v="1902702.6666666667"/>
    <n v="0"/>
    <n v="73063782.400000006"/>
    <n v="67070.27"/>
    <n v="0"/>
    <n v="3219372.96000004"/>
    <n v="0"/>
    <n v="1788540.5333333332"/>
    <n v="0"/>
    <n v="68679956.480000004"/>
    <x v="0"/>
    <n v="0"/>
    <n v="0"/>
    <n v="0"/>
    <n v="0"/>
  </r>
  <r>
    <n v="1642"/>
    <x v="11"/>
    <s v="PE700042"/>
    <s v="64874 G2G PRFCT CV CUSH 04 GINGER"/>
    <x v="1"/>
    <n v="71351.350000000006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67070.27"/>
    <n v="0"/>
    <n v="0"/>
    <n v="0"/>
    <n v="0"/>
    <n v="0"/>
    <n v="0"/>
    <x v="0"/>
    <n v="0"/>
    <n v="0"/>
    <n v="0"/>
    <n v="0"/>
  </r>
  <r>
    <n v="1643"/>
    <x v="11"/>
    <s v="PE700043"/>
    <s v="62913 G2G PRFCT CV CUSH 05 CINNAMON"/>
    <x v="1"/>
    <n v="71351.350000000006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67070.27"/>
    <n v="0"/>
    <n v="0"/>
    <n v="0"/>
    <n v="0"/>
    <n v="0"/>
    <n v="0"/>
    <x v="0"/>
    <n v="0"/>
    <n v="0"/>
    <n v="0"/>
    <n v="0"/>
  </r>
  <r>
    <n v="1644"/>
    <x v="11"/>
    <s v="PE700044"/>
    <s v="65985 G2G PEACH RETINOL SRM 17ML"/>
    <x v="1"/>
    <n v="28109"/>
    <n v="2596.333333333348"/>
    <n v="1346.1477860839559"/>
    <n v="1368.0492620279849"/>
    <n v="15864"/>
    <n v="192"/>
    <n v="0"/>
    <n v="216"/>
    <n v="0"/>
    <n v="0"/>
    <n v="96"/>
    <n v="45"/>
    <n v="16272"/>
    <n v="356.8292557508899"/>
    <n v="0"/>
    <n v="0"/>
    <n v="0"/>
    <n v="0"/>
    <n v="327.30953398103702"/>
    <n v="0"/>
    <n v="72980333.666667074"/>
    <n v="37838868.119033918"/>
    <n v="38454496.706344627"/>
    <n v="0"/>
    <n v="457389648"/>
    <n v="26422"/>
    <n v="0"/>
    <n v="68600319.333333716"/>
    <n v="35567916.803910285"/>
    <n v="36146597.601303421"/>
    <n v="0"/>
    <n v="429938784"/>
    <x v="0"/>
    <n v="0"/>
    <n v="0"/>
    <n v="0"/>
    <n v="0"/>
  </r>
  <r>
    <n v="1645"/>
    <x v="11"/>
    <s v="PE700045"/>
    <s v="05481 G2G AHA BHA PHA PEEL SOL 15ML"/>
    <x v="1"/>
    <n v="35315"/>
    <n v="4616.3333333333221"/>
    <n v="3729.9436457734328"/>
    <n v="3574.3145485911441"/>
    <n v="21648"/>
    <n v="0"/>
    <n v="0"/>
    <n v="0"/>
    <n v="0"/>
    <n v="192"/>
    <n v="96"/>
    <n v="45"/>
    <n v="21648"/>
    <n v="181.69637595437257"/>
    <n v="0"/>
    <n v="192"/>
    <n v="0"/>
    <n v="0"/>
    <n v="150.39014706712788"/>
    <n v="0"/>
    <n v="163025811.66666627"/>
    <n v="131722959.85048878"/>
    <n v="126226918.28349626"/>
    <n v="0"/>
    <n v="764499120"/>
    <n v="33196"/>
    <n v="0"/>
    <n v="153243801.33333296"/>
    <n v="123819209.26509488"/>
    <n v="118652945.75503162"/>
    <n v="0"/>
    <n v="718627008"/>
    <x v="0"/>
    <n v="-192"/>
    <n v="0"/>
    <n v="0"/>
    <n v="0"/>
  </r>
  <r>
    <n v="1646"/>
    <x v="11"/>
    <s v="PE700047"/>
    <s v="45877 G2G POM NIACINAMIDE MOIS 100G"/>
    <x v="1"/>
    <n v="64144"/>
    <n v="0"/>
    <n v="0"/>
    <n v="0"/>
    <n v="347"/>
    <n v="0"/>
    <n v="0"/>
    <n v="0"/>
    <n v="0"/>
    <n v="0"/>
    <n v="80"/>
    <n v="45"/>
    <n v="347"/>
    <n v="9999"/>
    <n v="0"/>
    <n v="0"/>
    <n v="0"/>
    <n v="0"/>
    <n v="9999"/>
    <n v="0"/>
    <n v="0"/>
    <n v="0"/>
    <n v="0"/>
    <n v="0"/>
    <n v="22257968"/>
    <n v="60295"/>
    <n v="0"/>
    <n v="0"/>
    <n v="0"/>
    <n v="0"/>
    <n v="0"/>
    <n v="20922365"/>
    <x v="0"/>
    <n v="0"/>
    <n v="0"/>
    <n v="0"/>
    <n v="0"/>
  </r>
  <r>
    <n v="1647"/>
    <x v="11"/>
    <s v="PE700048"/>
    <s v="47310 G2G PERFECT VITA C MOIST 30G"/>
    <x v="1"/>
    <n v="35315"/>
    <n v="-3076.6666666666756"/>
    <n v="0"/>
    <n v="-2762.333333333333"/>
    <n v="3229"/>
    <n v="0"/>
    <n v="0"/>
    <n v="0"/>
    <n v="0"/>
    <n v="288"/>
    <n v="96"/>
    <n v="45"/>
    <n v="3229"/>
    <n v="9999"/>
    <n v="0"/>
    <n v="288"/>
    <n v="0"/>
    <n v="0"/>
    <n v="9999"/>
    <n v="0"/>
    <n v="-108652483.33333366"/>
    <n v="0"/>
    <n v="-97551801.666666657"/>
    <n v="0"/>
    <n v="114032135"/>
    <n v="33196"/>
    <n v="0"/>
    <n v="-102133026.66666697"/>
    <n v="0"/>
    <n v="-91698417.333333328"/>
    <n v="0"/>
    <n v="107189884"/>
    <x v="0"/>
    <n v="-288"/>
    <n v="0"/>
    <n v="0"/>
    <n v="0"/>
  </r>
  <r>
    <n v="1648"/>
    <x v="11"/>
    <s v="PE700049"/>
    <s v="00295 G2G PERFECT VITA C MW 130ML"/>
    <x v="1"/>
    <n v="20901"/>
    <n v="48643.666666666839"/>
    <n v="32947.459459459409"/>
    <n v="32963.153153153136"/>
    <n v="53977"/>
    <n v="2232"/>
    <n v="0"/>
    <n v="48"/>
    <n v="30960"/>
    <n v="18360"/>
    <n v="72"/>
    <n v="45"/>
    <n v="56257"/>
    <n v="51.19989559732273"/>
    <n v="0"/>
    <n v="0"/>
    <n v="0"/>
    <n v="0"/>
    <n v="49.391094615609639"/>
    <n v="0"/>
    <n v="1016701277.0000036"/>
    <n v="688634850.16216111"/>
    <n v="688962864.05405366"/>
    <n v="647094960"/>
    <n v="1175827557"/>
    <n v="19647"/>
    <n v="0"/>
    <n v="955702119.00000334"/>
    <n v="647318735.99999905"/>
    <n v="647627069.99999964"/>
    <n v="608271120"/>
    <n v="1105281279"/>
    <x v="0"/>
    <n v="0"/>
    <n v="0"/>
    <n v="0"/>
    <n v="0"/>
  </r>
  <r>
    <n v="1649"/>
    <x v="11"/>
    <s v="PE700050"/>
    <s v="89892 G2G PWD FOUND 01 BTR CRM 8.5G"/>
    <x v="4"/>
    <n v="64144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60295"/>
    <n v="0"/>
    <n v="0"/>
    <n v="0"/>
    <n v="0"/>
    <n v="0"/>
    <n v="0"/>
    <x v="0"/>
    <n v="0"/>
    <n v="0"/>
    <n v="0"/>
    <n v="0"/>
  </r>
  <r>
    <n v="1650"/>
    <x v="11"/>
    <s v="PE700051"/>
    <s v="43373 G2G PWD FOUND 02 PRALINE 8.5G"/>
    <x v="4"/>
    <n v="64144"/>
    <n v="0"/>
    <n v="0"/>
    <n v="0"/>
    <n v="1092"/>
    <n v="0"/>
    <n v="0"/>
    <n v="0"/>
    <n v="0"/>
    <n v="0"/>
    <n v="96"/>
    <n v="45"/>
    <n v="1092"/>
    <n v="9999"/>
    <n v="0"/>
    <n v="0"/>
    <n v="0"/>
    <n v="0"/>
    <n v="9999"/>
    <n v="0"/>
    <n v="0"/>
    <n v="0"/>
    <n v="0"/>
    <n v="0"/>
    <n v="70045248"/>
    <n v="60295"/>
    <n v="0"/>
    <n v="0"/>
    <n v="0"/>
    <n v="0"/>
    <n v="0"/>
    <n v="65842140"/>
    <x v="0"/>
    <n v="0"/>
    <n v="0"/>
    <n v="0"/>
    <n v="0"/>
  </r>
  <r>
    <n v="1651"/>
    <x v="11"/>
    <s v="PE700052"/>
    <s v="56767 G2G PWD FOUND 03 CUSTARD 8.5G"/>
    <x v="4"/>
    <n v="64144"/>
    <n v="0"/>
    <n v="0"/>
    <n v="0"/>
    <n v="1668"/>
    <n v="0"/>
    <n v="0"/>
    <n v="0"/>
    <n v="0"/>
    <n v="0"/>
    <n v="96"/>
    <n v="45"/>
    <n v="1668"/>
    <n v="9999"/>
    <n v="0"/>
    <n v="0"/>
    <n v="0"/>
    <n v="0"/>
    <n v="9999"/>
    <n v="0"/>
    <n v="0"/>
    <n v="0"/>
    <n v="0"/>
    <n v="0"/>
    <n v="106992192"/>
    <n v="60295"/>
    <n v="0"/>
    <n v="0"/>
    <n v="0"/>
    <n v="0"/>
    <n v="0"/>
    <n v="100572060"/>
    <x v="0"/>
    <n v="0"/>
    <n v="0"/>
    <n v="0"/>
    <n v="0"/>
  </r>
  <r>
    <n v="1652"/>
    <x v="11"/>
    <s v="PE700053"/>
    <s v="12735 G2G KIWI ACID ACNE MOIST 30G"/>
    <x v="4"/>
    <n v="35315"/>
    <n v="111.666666666667"/>
    <n v="0"/>
    <n v="72"/>
    <n v="360"/>
    <n v="0"/>
    <n v="96"/>
    <n v="48"/>
    <n v="0"/>
    <n v="0"/>
    <n v="96"/>
    <n v="45"/>
    <n v="408"/>
    <n v="170"/>
    <n v="0"/>
    <n v="48"/>
    <n v="0"/>
    <n v="0"/>
    <n v="170"/>
    <n v="0"/>
    <n v="3943508.3333333451"/>
    <n v="0"/>
    <n v="2542680"/>
    <n v="0"/>
    <n v="14408520"/>
    <n v="33196"/>
    <n v="0"/>
    <n v="3706886.6666666777"/>
    <n v="0"/>
    <n v="2390112"/>
    <n v="0"/>
    <n v="13543968"/>
    <x v="0"/>
    <n v="-48"/>
    <n v="0"/>
    <n v="0"/>
    <n v="0"/>
  </r>
  <r>
    <n v="1653"/>
    <x v="11"/>
    <s v="PE700054"/>
    <s v="34284 G2G APRICOT EXFO PEEL GEL 50G"/>
    <x v="4"/>
    <n v="35315"/>
    <n v="96"/>
    <n v="0"/>
    <n v="64"/>
    <n v="1536"/>
    <n v="0"/>
    <n v="288"/>
    <n v="192"/>
    <n v="0"/>
    <n v="0"/>
    <n v="96"/>
    <n v="45"/>
    <n v="1728"/>
    <n v="810"/>
    <n v="0"/>
    <n v="96"/>
    <n v="0"/>
    <n v="0"/>
    <n v="810"/>
    <n v="0"/>
    <n v="3390240"/>
    <n v="0"/>
    <n v="2260160"/>
    <n v="0"/>
    <n v="61024320"/>
    <n v="33196"/>
    <n v="0"/>
    <n v="3186816"/>
    <n v="0"/>
    <n v="2124544"/>
    <n v="0"/>
    <n v="57362688"/>
    <x v="0"/>
    <n v="-96"/>
    <n v="0"/>
    <n v="0"/>
    <n v="0"/>
  </r>
  <r>
    <n v="1654"/>
    <x v="11"/>
    <s v="PE700055"/>
    <s v="78325 G2G MIXBERRY LIP SERUM 5.5ML"/>
    <x v="4"/>
    <n v="35315"/>
    <n v="79.666666666667666"/>
    <n v="0"/>
    <n v="26.333333333333336"/>
    <n v="1512"/>
    <n v="0"/>
    <n v="0"/>
    <n v="160"/>
    <n v="0"/>
    <n v="0"/>
    <n v="320"/>
    <n v="45"/>
    <n v="1672"/>
    <n v="1904.8101265822784"/>
    <n v="0"/>
    <n v="0"/>
    <n v="0"/>
    <n v="0"/>
    <n v="1904.8101265822784"/>
    <n v="0"/>
    <n v="2813428.3333333684"/>
    <n v="0"/>
    <n v="929961.66666666674"/>
    <n v="0"/>
    <n v="59046680"/>
    <n v="33196"/>
    <n v="0"/>
    <n v="2644614.6666667"/>
    <n v="0"/>
    <n v="874161.33333333337"/>
    <n v="0"/>
    <n v="55503712"/>
    <x v="0"/>
    <n v="0"/>
    <n v="0"/>
    <n v="0"/>
    <n v="0"/>
  </r>
  <r>
    <n v="1655"/>
    <x v="11"/>
    <s v="PE700056"/>
    <s v="67817 G2G CENTELLA ALLAN MOIS 100G"/>
    <x v="4"/>
    <n v="49730"/>
    <n v="288"/>
    <n v="297.83323749281203"/>
    <n v="291.27774583093731"/>
    <n v="1128"/>
    <n v="0"/>
    <n v="0"/>
    <n v="48"/>
    <n v="96"/>
    <n v="384"/>
    <n v="96"/>
    <n v="45"/>
    <n v="1176"/>
    <n v="121.12150861149939"/>
    <n v="0"/>
    <n v="240"/>
    <n v="0"/>
    <n v="0"/>
    <n v="100.33379924664187"/>
    <n v="0"/>
    <n v="14322240"/>
    <n v="14811246.900517542"/>
    <n v="14485242.300172511"/>
    <n v="4774080"/>
    <n v="58482480"/>
    <n v="46746"/>
    <n v="0"/>
    <n v="13462848"/>
    <n v="13922512.519838991"/>
    <n v="13616069.506612996"/>
    <n v="4487616"/>
    <n v="54973296"/>
    <x v="0"/>
    <n v="-240"/>
    <n v="144"/>
    <n v="144"/>
    <n v="144"/>
  </r>
  <r>
    <n v="1656"/>
    <x v="11"/>
    <s v="PE700057"/>
    <s v="34413 G2G TROP VLV BODY SERUM 300ML"/>
    <x v="1"/>
    <n v="49730"/>
    <n v="31.666666666666998"/>
    <n v="0"/>
    <n v="15.666666666666666"/>
    <n v="624"/>
    <n v="0"/>
    <n v="0"/>
    <n v="0"/>
    <n v="0"/>
    <n v="24"/>
    <n v="24"/>
    <n v="45"/>
    <n v="624"/>
    <n v="1194.8936170212767"/>
    <n v="0"/>
    <n v="24"/>
    <n v="0"/>
    <n v="0"/>
    <n v="1194.8936170212767"/>
    <n v="0"/>
    <n v="1574783.3333333498"/>
    <n v="0"/>
    <n v="779103.33333333326"/>
    <n v="0"/>
    <n v="31031520"/>
    <n v="46746"/>
    <n v="0"/>
    <n v="1480290.0000000156"/>
    <n v="0"/>
    <n v="732354"/>
    <n v="0"/>
    <n v="29169504"/>
    <x v="0"/>
    <n v="-24"/>
    <n v="0"/>
    <n v="0"/>
    <n v="0"/>
  </r>
  <r>
    <n v="1657"/>
    <x v="11"/>
    <s v="PE700058"/>
    <s v="34420 G2G CREAMYBERRY BDY SRM 300ML"/>
    <x v="1"/>
    <n v="49730"/>
    <n v="32"/>
    <n v="0"/>
    <n v="24"/>
    <n v="240"/>
    <n v="0"/>
    <n v="0"/>
    <n v="0"/>
    <n v="0"/>
    <n v="0"/>
    <n v="24"/>
    <n v="45"/>
    <n v="240"/>
    <n v="300"/>
    <n v="0"/>
    <n v="0"/>
    <n v="0"/>
    <n v="0"/>
    <n v="300"/>
    <n v="0"/>
    <n v="1591360"/>
    <n v="0"/>
    <n v="1193520"/>
    <n v="0"/>
    <n v="11935200"/>
    <n v="46746"/>
    <n v="0"/>
    <n v="1495872"/>
    <n v="0"/>
    <n v="1121904"/>
    <n v="0"/>
    <n v="11219040"/>
    <x v="0"/>
    <n v="0"/>
    <n v="0"/>
    <n v="0"/>
    <n v="0"/>
  </r>
  <r>
    <n v="1658"/>
    <x v="11"/>
    <s v="PE700060"/>
    <s v="00196 G2G MADAGASCAR CLS OIL 100ML"/>
    <x v="2"/>
    <n v="42523"/>
    <n v="3250.9999999999936"/>
    <n v="3940.215041403108"/>
    <n v="2861.0716804677027"/>
    <n v="14176"/>
    <n v="96"/>
    <n v="96"/>
    <n v="36"/>
    <n v="0"/>
    <n v="1392"/>
    <n v="48"/>
    <n v="45"/>
    <n v="14308"/>
    <n v="150.02769868730854"/>
    <n v="0"/>
    <n v="1452"/>
    <n v="0"/>
    <n v="0"/>
    <n v="108.71225313273582"/>
    <n v="0"/>
    <n v="138242272.99999973"/>
    <n v="167549764.20558435"/>
    <n v="121661351.06852812"/>
    <n v="0"/>
    <n v="608419084"/>
    <n v="39971"/>
    <n v="0"/>
    <n v="129945720.99999975"/>
    <n v="157494335.41992363"/>
    <n v="114359896.13997455"/>
    <n v="0"/>
    <n v="571905068"/>
    <x v="0"/>
    <n v="-1452"/>
    <n v="828"/>
    <n v="1116"/>
    <n v="1404"/>
  </r>
  <r>
    <n v="1659"/>
    <x v="11"/>
    <s v="PE700061"/>
    <s v="00752 G2G BRIGHT MCLR WTR 130ML"/>
    <x v="2"/>
    <n v="20901"/>
    <n v="67549.333333333372"/>
    <n v="72125.431282346108"/>
    <n v="70368.477094115369"/>
    <n v="119613"/>
    <n v="15408"/>
    <n v="5112"/>
    <n v="7272"/>
    <n v="0"/>
    <n v="16416"/>
    <n v="72"/>
    <n v="45"/>
    <n v="142293"/>
    <n v="60.663384746704736"/>
    <n v="35385.146923519147"/>
    <n v="14256"/>
    <n v="35385.146923519147"/>
    <n v="35352"/>
    <n v="44.98586856293273"/>
    <n v="738892152"/>
    <n v="1411848616.0000007"/>
    <n v="1507493639.232316"/>
    <n v="1470771539.7441053"/>
    <n v="0"/>
    <n v="2974065993"/>
    <n v="19646.849999999999"/>
    <n v="694555441.19999993"/>
    <n v="1327131619.6000006"/>
    <n v="1417037529.5895615"/>
    <n v="1382518914.1965203"/>
    <n v="0"/>
    <n v="2795609227.0499997"/>
    <x v="0"/>
    <n v="21096"/>
    <n v="1656"/>
    <n v="5688"/>
    <n v="9864"/>
  </r>
  <r>
    <n v="1660"/>
    <x v="11"/>
    <s v="PE700062"/>
    <s v="00783 G2G PORE CLEAR MCLR WTR 130ML"/>
    <x v="2"/>
    <n v="20901"/>
    <n v="24624.333333333256"/>
    <n v="32963.564117308852"/>
    <n v="28672.854705769616"/>
    <n v="46557"/>
    <n v="0"/>
    <n v="0"/>
    <n v="0"/>
    <n v="16776"/>
    <n v="20376"/>
    <n v="72"/>
    <n v="45"/>
    <n v="46557"/>
    <n v="48.711926814840339"/>
    <n v="12639.846175963277"/>
    <n v="3600"/>
    <n v="12639.846175963277"/>
    <n v="12672"/>
    <n v="45.033642088693306"/>
    <n v="264857472"/>
    <n v="514673190.99999839"/>
    <n v="688971453.61587226"/>
    <n v="599291336.20529079"/>
    <n v="350635176"/>
    <n v="973087857"/>
    <n v="19646.849999999999"/>
    <n v="248964883.19999999"/>
    <n v="483790583.34999841"/>
    <n v="647630199.67814934"/>
    <n v="563331275.47604978"/>
    <n v="329595555.59999996"/>
    <n v="914698395.44999993"/>
    <x v="0"/>
    <n v="9072"/>
    <n v="0"/>
    <n v="0"/>
    <n v="0"/>
  </r>
  <r>
    <n v="1661"/>
    <x v="11"/>
    <s v="PE700063"/>
    <s v="00714 G2G LOW PH GENT FACEWASH 70ML"/>
    <x v="2"/>
    <n v="28108"/>
    <n v="2720.6666666666802"/>
    <n v="4292.5626221966604"/>
    <n v="3524.854207398886"/>
    <n v="60681"/>
    <n v="0"/>
    <n v="0"/>
    <n v="0"/>
    <n v="0"/>
    <n v="96"/>
    <n v="96"/>
    <n v="45"/>
    <n v="60681"/>
    <n v="516.45540294370346"/>
    <n v="0"/>
    <n v="96"/>
    <n v="0"/>
    <n v="0"/>
    <n v="479.92144406518042"/>
    <n v="0"/>
    <n v="76472498.666667044"/>
    <n v="120655350.18470374"/>
    <n v="99076602.061567888"/>
    <n v="0"/>
    <n v="1705621548"/>
    <n v="26421.62"/>
    <n v="0"/>
    <n v="71884420.81333369"/>
    <n v="113416458.42988372"/>
    <n v="93132358.423294559"/>
    <n v="0"/>
    <n v="1603290323.22"/>
    <x v="0"/>
    <n v="-96"/>
    <n v="0"/>
    <n v="0"/>
    <n v="0"/>
  </r>
  <r>
    <n v="1662"/>
    <x v="11"/>
    <s v="PE700064"/>
    <s v="00745 G2G DEEP PORE FACEWASH 70ML"/>
    <x v="3"/>
    <n v="28108"/>
    <n v="76511.000000000015"/>
    <n v="126767.12535940183"/>
    <n v="89898.375119800592"/>
    <n v="164760"/>
    <n v="4320"/>
    <n v="0"/>
    <n v="0"/>
    <n v="137280"/>
    <n v="53664"/>
    <n v="96"/>
    <n v="45"/>
    <n v="169080"/>
    <n v="56.423711699353916"/>
    <n v="0"/>
    <n v="0"/>
    <n v="0"/>
    <n v="0"/>
    <n v="59.931964643833219"/>
    <n v="0"/>
    <n v="2150571188.0000005"/>
    <n v="3563170359.602067"/>
    <n v="2526863527.8673549"/>
    <n v="3858666240"/>
    <n v="4752500640"/>
    <n v="26421.62"/>
    <n v="0"/>
    <n v="2021544567.8200004"/>
    <n v="3349392814.7384787"/>
    <n v="2375260706.0328255"/>
    <n v="3627159993.5999999"/>
    <n v="4467367509.5999994"/>
    <x v="0"/>
    <n v="0"/>
    <n v="0"/>
    <n v="0"/>
    <n v="0"/>
  </r>
  <r>
    <n v="1663"/>
    <x v="11"/>
    <s v="PE700065"/>
    <s v="00493 G2G MATCHA SAL ACNE CLS 80ML"/>
    <x v="2"/>
    <n v="32432"/>
    <n v="7391.0000000000118"/>
    <n v="10883.923519263939"/>
    <n v="8448.641173087979"/>
    <n v="34581"/>
    <n v="480"/>
    <n v="384"/>
    <n v="96"/>
    <n v="0"/>
    <n v="672"/>
    <n v="48"/>
    <n v="45"/>
    <n v="35157"/>
    <n v="124.8378263903121"/>
    <n v="0"/>
    <n v="960"/>
    <n v="0"/>
    <n v="0"/>
    <n v="86.190462999143733"/>
    <n v="0"/>
    <n v="239704912.00000039"/>
    <n v="352987407.57676804"/>
    <n v="274006330.52558935"/>
    <n v="0"/>
    <n v="1140211824"/>
    <n v="30486.49"/>
    <n v="0"/>
    <n v="225325647.59000036"/>
    <n v="331812625.53080487"/>
    <n v="257569414.63693497"/>
    <n v="0"/>
    <n v="1071813528.9300001"/>
    <x v="0"/>
    <n v="-960"/>
    <n v="336"/>
    <n v="528"/>
    <n v="720"/>
  </r>
  <r>
    <n v="1664"/>
    <x v="11"/>
    <s v="PE700066"/>
    <s v="00905 G2G NIACINAMIDE B BODYSR180ML"/>
    <x v="3"/>
    <n v="28108.11"/>
    <n v="83218.333333333372"/>
    <n v="121472.78493387011"/>
    <n v="97250.594977956687"/>
    <n v="204631"/>
    <n v="0"/>
    <n v="0"/>
    <n v="0"/>
    <n v="98160"/>
    <n v="47328"/>
    <n v="48"/>
    <n v="45"/>
    <n v="204631"/>
    <n v="63.124858016462319"/>
    <n v="0"/>
    <n v="0"/>
    <n v="0"/>
    <n v="0"/>
    <n v="55.93329740776241"/>
    <n v="0"/>
    <n v="2339110067.3500013"/>
    <n v="3414370400.9275637"/>
    <n v="2733530421.2058544"/>
    <n v="2759092077.5999999"/>
    <n v="5751790657.4099998"/>
    <n v="26421.62"/>
    <n v="0"/>
    <n v="2198763180.3666677"/>
    <n v="3209507763.8644409"/>
    <n v="2569518265.2814798"/>
    <n v="2593546219.1999998"/>
    <n v="5406682522.2200003"/>
    <x v="0"/>
    <n v="0"/>
    <n v="0"/>
    <n v="0"/>
    <n v="0"/>
  </r>
  <r>
    <n v="1665"/>
    <x v="11"/>
    <s v="PE700067"/>
    <s v="00936 G2G GLYCOLIC ACID FCWASH70GR"/>
    <x v="2"/>
    <n v="28108.11"/>
    <n v="27751.666666666581"/>
    <n v="33866.756756756731"/>
    <n v="28529.252252252245"/>
    <n v="95303"/>
    <n v="192"/>
    <n v="1056"/>
    <n v="1344"/>
    <n v="0"/>
    <n v="3168"/>
    <n v="96"/>
    <n v="45"/>
    <n v="96839"/>
    <n v="101.83127038566708"/>
    <n v="0"/>
    <n v="2880"/>
    <n v="0"/>
    <n v="0"/>
    <n v="66.218605401694603"/>
    <n v="0"/>
    <n v="780046899.34999764"/>
    <n v="951930524.26216149"/>
    <n v="801903360.52405381"/>
    <n v="0"/>
    <n v="2721961264.29"/>
    <n v="26421.62"/>
    <n v="0"/>
    <n v="733243991.03333104"/>
    <n v="894814577.65945876"/>
    <n v="753789061.89315295"/>
    <n v="0"/>
    <n v="2558643259.1799998"/>
    <x v="0"/>
    <n v="-2880"/>
    <n v="576"/>
    <n v="1248"/>
    <n v="2016"/>
  </r>
  <r>
    <n v="1666"/>
    <x v="11"/>
    <s v="PE700068"/>
    <s v="00929 G2G NIACINAMIDE SRM FW 70GR"/>
    <x v="3"/>
    <n v="28108.11"/>
    <n v="106510.33333333343"/>
    <n v="77867.222541690309"/>
    <n v="96214.40751389676"/>
    <n v="205300"/>
    <n v="4608"/>
    <n v="0"/>
    <n v="0"/>
    <n v="15840"/>
    <n v="14112"/>
    <n v="96"/>
    <n v="45"/>
    <n v="209908"/>
    <n v="65.450073047432682"/>
    <n v="0"/>
    <n v="0"/>
    <n v="0"/>
    <n v="0"/>
    <n v="46.109760880754941"/>
    <n v="0"/>
    <n v="2993804165.4700027"/>
    <n v="2188700456.5963106"/>
    <n v="2704405149.9854369"/>
    <n v="445232462.40000004"/>
    <n v="5900117153.8800001"/>
    <n v="26421.62"/>
    <n v="0"/>
    <n v="2814175553.4066691"/>
    <n v="2057378164.4519753"/>
    <n v="2542140513.8573246"/>
    <n v="418518460.80000001"/>
    <n v="5546109410.96"/>
    <x v="0"/>
    <n v="0"/>
    <n v="0"/>
    <n v="0"/>
    <n v="0"/>
  </r>
  <r>
    <n v="1667"/>
    <x v="11"/>
    <s v="PE700069"/>
    <s v="00912 G2G RETINOL BRIGHTBODYSR180ML"/>
    <x v="3"/>
    <n v="28108.11"/>
    <n v="70641.000000000131"/>
    <n v="133001.09258194297"/>
    <n v="92299.697527314333"/>
    <n v="236881"/>
    <n v="15696"/>
    <n v="2880"/>
    <n v="0"/>
    <n v="29616"/>
    <n v="27408"/>
    <n v="48"/>
    <n v="45"/>
    <n v="252577"/>
    <n v="82.09463522627081"/>
    <n v="0"/>
    <n v="672"/>
    <n v="672"/>
    <n v="672"/>
    <n v="48.709988688871164"/>
    <n v="18888649.920000002"/>
    <n v="1985584998.5100038"/>
    <n v="3738409340.4134369"/>
    <n v="2594370051.0644794"/>
    <n v="832449785.75999999"/>
    <n v="7099462099.4700003"/>
    <n v="26421.62"/>
    <n v="17755328.640000001"/>
    <n v="1866449658.4200034"/>
    <n v="3514104327.7849159"/>
    <n v="2438707534.1816387"/>
    <n v="782502697.91999996"/>
    <n v="6673493514.7399998"/>
    <x v="0"/>
    <n v="0"/>
    <n v="0"/>
    <n v="0"/>
    <n v="0"/>
  </r>
  <r>
    <n v="1668"/>
    <x v="11"/>
    <s v="PE700070"/>
    <s v="00677G2G BRIGHT LIP SRM STRAW GLAZE"/>
    <x v="4"/>
    <n v="42522.52"/>
    <n v="2872"/>
    <n v="1512.1334100057441"/>
    <n v="3360.0444700019148"/>
    <n v="13248"/>
    <n v="0"/>
    <n v="0"/>
    <n v="96"/>
    <n v="0"/>
    <n v="864"/>
    <n v="96"/>
    <n v="45"/>
    <n v="13344"/>
    <n v="119.14128029376107"/>
    <n v="0"/>
    <n v="768"/>
    <n v="0"/>
    <n v="0"/>
    <n v="105.64026782051054"/>
    <n v="0"/>
    <n v="122124677.44"/>
    <n v="64299723.169637449"/>
    <n v="142877558.1765458"/>
    <n v="0"/>
    <n v="567420506.88"/>
    <n v="39971.17"/>
    <n v="0"/>
    <n v="114797200.23999999"/>
    <n v="60441741.594019294"/>
    <n v="134304908.71800643"/>
    <n v="0"/>
    <n v="533375292.47999996"/>
    <x v="0"/>
    <n v="-768"/>
    <n v="576"/>
    <n v="768"/>
    <n v="960"/>
  </r>
  <r>
    <n v="1669"/>
    <x v="11"/>
    <s v="PE700071"/>
    <s v="00691 G2G BRIGHT LIP SRM BERRY SODA"/>
    <x v="4"/>
    <n v="42522.52"/>
    <n v="2912"/>
    <n v="1386.4864864864801"/>
    <n v="3342.1621621621603"/>
    <n v="13272"/>
    <n v="96"/>
    <n v="0"/>
    <n v="0"/>
    <n v="384"/>
    <n v="384"/>
    <n v="96"/>
    <n v="45"/>
    <n v="13368"/>
    <n v="119.99417758369731"/>
    <n v="0"/>
    <n v="0"/>
    <n v="0"/>
    <n v="0"/>
    <n v="110.99563318777305"/>
    <n v="0"/>
    <n v="123825578.23999999"/>
    <n v="58956899.351351075"/>
    <n v="142117157.3837837"/>
    <n v="16328647.68"/>
    <n v="568441047.36000001"/>
    <n v="39971.17"/>
    <n v="0"/>
    <n v="116396047.03999999"/>
    <n v="55419487.054053798"/>
    <n v="133590131.95135127"/>
    <n v="15348929.279999999"/>
    <n v="534334600.56"/>
    <x v="0"/>
    <n v="0"/>
    <n v="0"/>
    <n v="0"/>
    <n v="0"/>
  </r>
  <r>
    <n v="1670"/>
    <x v="11"/>
    <s v="PE700072"/>
    <s v="00288 G2G DOUBLE BRIGHT DAYCRM 30G"/>
    <x v="4"/>
    <n v="64144.14"/>
    <n v="136"/>
    <n v="0"/>
    <n v="96"/>
    <n v="1776"/>
    <n v="0"/>
    <n v="0"/>
    <n v="0"/>
    <n v="0"/>
    <n v="0"/>
    <n v="96"/>
    <n v="45"/>
    <n v="1776"/>
    <n v="555"/>
    <n v="0"/>
    <n v="0"/>
    <n v="0"/>
    <n v="0"/>
    <n v="555"/>
    <n v="0"/>
    <n v="8723603.0399999991"/>
    <n v="0"/>
    <n v="6157837.4399999995"/>
    <n v="0"/>
    <n v="113919992.64"/>
    <n v="60295.5"/>
    <n v="0"/>
    <n v="8200188"/>
    <n v="0"/>
    <n v="5788368"/>
    <n v="0"/>
    <n v="107084808"/>
    <x v="0"/>
    <n v="0"/>
    <n v="0"/>
    <n v="0"/>
    <n v="0"/>
  </r>
  <r>
    <n v="1671"/>
    <x v="11"/>
    <s v="PE700073"/>
    <s v="29489 CENT SALICY EXFO ACNE PADS"/>
    <x v="4"/>
    <n v="49729.73"/>
    <n v="71.3333333333333"/>
    <n v="0"/>
    <n v="47.333333333333329"/>
    <n v="1314"/>
    <n v="0"/>
    <n v="0"/>
    <n v="0"/>
    <n v="0"/>
    <n v="0"/>
    <n v="72"/>
    <n v="45"/>
    <n v="1314"/>
    <n v="832.8169014084508"/>
    <n v="0"/>
    <n v="0"/>
    <n v="0"/>
    <n v="0"/>
    <n v="832.8169014084508"/>
    <n v="0"/>
    <n v="3547387.4066666653"/>
    <n v="0"/>
    <n v="2353873.8866666667"/>
    <n v="0"/>
    <n v="65344865.220000006"/>
    <n v="46745.95"/>
    <n v="0"/>
    <n v="3334544.4333333317"/>
    <n v="0"/>
    <n v="2212641.6333333328"/>
    <n v="0"/>
    <n v="61424178.299999997"/>
    <x v="0"/>
    <n v="0"/>
    <n v="0"/>
    <n v="0"/>
    <n v="0"/>
  </r>
  <r>
    <n v="1672"/>
    <x v="11"/>
    <s v="PE700074"/>
    <s v="G2G FLAWLESS BLUR SKINTINT 02PRALIE"/>
    <x v="4"/>
    <n v="42522.52"/>
    <n v="344"/>
    <n v="240.07360552041399"/>
    <n v="248.02453517347132"/>
    <n v="1416"/>
    <n v="0"/>
    <n v="0"/>
    <n v="0"/>
    <n v="0"/>
    <n v="0"/>
    <n v="96"/>
    <n v="45"/>
    <n v="1416"/>
    <n v="171.27337813692094"/>
    <n v="0"/>
    <n v="0"/>
    <n v="0"/>
    <n v="0"/>
    <n v="142.23508899921481"/>
    <n v="0"/>
    <n v="14627746.879999999"/>
    <n v="10208534.692213913"/>
    <n v="10546628.257404637"/>
    <n v="0"/>
    <n v="60211888.319999993"/>
    <n v="39971.17"/>
    <n v="0"/>
    <n v="13750082.479999999"/>
    <n v="9596022.8987694066"/>
    <n v="9913830.8595898021"/>
    <n v="0"/>
    <n v="56599176.719999999"/>
    <x v="0"/>
    <n v="0"/>
    <n v="0"/>
    <n v="0"/>
    <n v="0"/>
  </r>
  <r>
    <n v="1673"/>
    <x v="11"/>
    <s v="PE700075"/>
    <s v="G2G FLAWLESS BLUR SKINTINT 03CUSTAR"/>
    <x v="4"/>
    <n v="42522.52"/>
    <n v="336"/>
    <n v="312"/>
    <n v="264"/>
    <n v="1416"/>
    <n v="0"/>
    <n v="0"/>
    <n v="0"/>
    <n v="0"/>
    <n v="96"/>
    <n v="96"/>
    <n v="45"/>
    <n v="1416"/>
    <n v="160.90909090909091"/>
    <n v="0"/>
    <n v="96"/>
    <n v="0"/>
    <n v="0"/>
    <n v="125.45454545454545"/>
    <n v="0"/>
    <n v="14287566.719999999"/>
    <n v="13267026.239999998"/>
    <n v="11225945.279999999"/>
    <n v="0"/>
    <n v="60211888.319999993"/>
    <n v="39971.17"/>
    <n v="0"/>
    <n v="13430313.119999999"/>
    <n v="12471005.039999999"/>
    <n v="10552388.879999999"/>
    <n v="0"/>
    <n v="56599176.719999999"/>
    <x v="0"/>
    <n v="-96"/>
    <n v="0"/>
    <n v="0"/>
    <n v="0"/>
  </r>
  <r>
    <n v="1674"/>
    <x v="11"/>
    <s v="PE700076"/>
    <s v="01308 G2G SILKY SHAVE DEO SRM 45ML"/>
    <x v="4"/>
    <n v="20901"/>
    <n v="2784"/>
    <n v="0"/>
    <n v="2784"/>
    <n v="4752"/>
    <n v="0"/>
    <n v="0"/>
    <n v="0"/>
    <n v="480"/>
    <n v="0"/>
    <n v="96"/>
    <n v="45"/>
    <n v="4752"/>
    <n v="51.206896551724135"/>
    <n v="0"/>
    <n v="0"/>
    <n v="0"/>
    <n v="0"/>
    <n v="56.379310344827587"/>
    <n v="0"/>
    <n v="58188384"/>
    <n v="0"/>
    <n v="58188384"/>
    <n v="10032480"/>
    <n v="99321552"/>
    <n v="19646.849999999999"/>
    <n v="0"/>
    <n v="54696830.399999999"/>
    <n v="0"/>
    <n v="54696830.399999999"/>
    <n v="9430488"/>
    <n v="93361831.199999988"/>
    <x v="0"/>
    <n v="0"/>
    <n v="0"/>
    <n v="0"/>
    <n v="0"/>
  </r>
  <r>
    <n v="1675"/>
    <x v="11"/>
    <s v="PE700077"/>
    <s v="02114 G2G B5 CICA BARRIER CRM 30ML"/>
    <x v="4"/>
    <n v="32432"/>
    <n v="3408"/>
    <n v="4915.5261644623606"/>
    <n v="5046.508721487452"/>
    <n v="3504"/>
    <n v="0"/>
    <n v="0"/>
    <n v="0"/>
    <n v="5664"/>
    <n v="7104"/>
    <n v="96"/>
    <n v="45"/>
    <n v="3504"/>
    <n v="20.830242411434099"/>
    <n v="3317.2892466935391"/>
    <n v="1440"/>
    <n v="3317.2892466935391"/>
    <n v="3360"/>
    <n v="45.25390278109262"/>
    <n v="108971520"/>
    <n v="110528256"/>
    <n v="159420344.56584328"/>
    <n v="163668370.85528105"/>
    <n v="183694848"/>
    <n v="113641728"/>
    <n v="30486.49"/>
    <n v="102434606.40000001"/>
    <n v="103897957.92"/>
    <n v="149857139.25762013"/>
    <n v="153850337.67254001"/>
    <n v="172675479.36000001"/>
    <n v="106824660.96000001"/>
    <x v="0"/>
    <n v="1920"/>
    <n v="0"/>
    <n v="0"/>
    <n v="0"/>
  </r>
  <r>
    <n v="1676"/>
    <x v="11"/>
    <s v="PE700078"/>
    <s v="02794 G2G B5 NIAC BARBOOSTGEL 30ML"/>
    <x v="4"/>
    <n v="32432"/>
    <n v="0"/>
    <n v="0"/>
    <n v="0"/>
    <n v="0"/>
    <n v="0"/>
    <n v="0"/>
    <n v="0"/>
    <n v="0"/>
    <n v="0"/>
    <n v="96"/>
    <n v="45"/>
    <n v="0"/>
    <n v="0"/>
    <n v="0"/>
    <n v="0"/>
    <n v="0"/>
    <n v="0"/>
    <n v="0"/>
    <n v="0"/>
    <n v="0"/>
    <n v="0"/>
    <n v="0"/>
    <n v="0"/>
    <n v="0"/>
    <n v="30486.49"/>
    <n v="0"/>
    <n v="0"/>
    <n v="0"/>
    <n v="0"/>
    <n v="0"/>
    <n v="0"/>
    <x v="0"/>
    <n v="0"/>
    <n v="0"/>
    <n v="0"/>
    <n v="0"/>
  </r>
  <r>
    <n v="1677"/>
    <x v="11"/>
    <s v="PE700079"/>
    <s v="00943 G2G PDRN5%NIAC1%TXA MOIS 30G"/>
    <x v="4"/>
    <n v="35315.32"/>
    <n v="82525.000000000204"/>
    <n v="51570.960322024024"/>
    <n v="47603.320107341337"/>
    <n v="113568"/>
    <n v="0"/>
    <n v="0"/>
    <n v="96"/>
    <n v="37632"/>
    <n v="24384"/>
    <n v="96"/>
    <n v="45"/>
    <n v="113664"/>
    <n v="71.631978448371413"/>
    <n v="0"/>
    <n v="0"/>
    <n v="0"/>
    <n v="0"/>
    <n v="62.847532138370624"/>
    <n v="0"/>
    <n v="2914396783.0000072"/>
    <n v="1821244966.4795814"/>
    <n v="1681126482.6531937"/>
    <n v="1328986122.24"/>
    <n v="4014080532.48"/>
    <n v="33196.400000000001"/>
    <n v="0"/>
    <n v="2739532910.0000067"/>
    <n v="1711970227.2340384"/>
    <n v="1580258855.611346"/>
    <n v="1249246924.8"/>
    <n v="3773235609.6000004"/>
    <x v="0"/>
    <n v="0"/>
    <n v="0"/>
    <n v="0"/>
    <n v="0"/>
  </r>
  <r>
    <n v="1678"/>
    <x v="11"/>
    <s v="PE700080"/>
    <s v="00950 G2G PDRN10%NIAC3%TXA SRM 20ML"/>
    <x v="4"/>
    <n v="35315.32"/>
    <n v="17614.666666666672"/>
    <n v="12678.082806210483"/>
    <n v="10904.694268736828"/>
    <n v="23400"/>
    <n v="6336"/>
    <n v="1344"/>
    <n v="1440"/>
    <n v="0"/>
    <n v="960"/>
    <n v="96"/>
    <n v="45"/>
    <n v="31176"/>
    <n v="85.768566908051469"/>
    <n v="0"/>
    <n v="864"/>
    <n v="0"/>
    <n v="0"/>
    <n v="50.889782155989593"/>
    <n v="0"/>
    <n v="622067590.02666688"/>
    <n v="447730551.28782117"/>
    <n v="385102767.60260707"/>
    <n v="0"/>
    <n v="1100990416.3199999"/>
    <n v="33196.400000000001"/>
    <n v="0"/>
    <n v="584743520.53333354"/>
    <n v="420866708.06808567"/>
    <n v="361996592.82269526"/>
    <n v="0"/>
    <n v="1034930966.4000001"/>
    <x v="0"/>
    <n v="-864"/>
    <n v="0"/>
    <n v="0"/>
    <n v="0"/>
  </r>
  <r>
    <n v="1679"/>
    <x v="12"/>
    <s v="PF000001"/>
    <s v="MMC RASH CREAM 50GR"/>
    <x v="3"/>
    <n v="59392"/>
    <n v="31.333333333333329"/>
    <n v="39"/>
    <n v="22.666666666666664"/>
    <n v="164"/>
    <n v="0"/>
    <n v="24"/>
    <n v="0"/>
    <n v="0"/>
    <n v="45"/>
    <n v="45"/>
    <n v="45"/>
    <n v="164"/>
    <n v="217.0588235294118"/>
    <n v="0"/>
    <n v="69"/>
    <n v="0"/>
    <n v="0"/>
    <n v="165.44117647058826"/>
    <n v="0"/>
    <n v="1860949.333333333"/>
    <n v="2316288"/>
    <n v="1346218.6666666665"/>
    <n v="0"/>
    <n v="9740288"/>
    <n v="51077"/>
    <n v="0"/>
    <n v="1600412.6666666665"/>
    <n v="1992003"/>
    <n v="1157745.3333333333"/>
    <n v="0"/>
    <n v="8376628"/>
    <x v="0"/>
    <n v="-69"/>
    <n v="0"/>
    <n v="0"/>
    <n v="0"/>
  </r>
  <r>
    <n v="1680"/>
    <x v="12"/>
    <s v="PF000002"/>
    <s v="MMC DAILY NOURISH FACE CRM 50G"/>
    <x v="3"/>
    <n v="56978"/>
    <n v="85.000000000000426"/>
    <n v="155"/>
    <n v="70.666666666666671"/>
    <n v="516"/>
    <n v="0"/>
    <n v="36"/>
    <n v="0"/>
    <n v="0"/>
    <n v="45"/>
    <n v="45"/>
    <n v="45"/>
    <n v="516"/>
    <n v="219.0566037735849"/>
    <n v="0"/>
    <n v="81"/>
    <n v="0"/>
    <n v="0"/>
    <n v="153.25471698113208"/>
    <n v="0"/>
    <n v="4843130.0000000242"/>
    <n v="8831590"/>
    <n v="4026445.3333333335"/>
    <n v="0"/>
    <n v="29400648"/>
    <n v="49001"/>
    <n v="0"/>
    <n v="4165085.000000021"/>
    <n v="7595155"/>
    <n v="3462737.3333333335"/>
    <n v="0"/>
    <n v="25284516"/>
    <x v="0"/>
    <n v="-81"/>
    <n v="0"/>
    <n v="0"/>
    <n v="0"/>
  </r>
  <r>
    <n v="1681"/>
    <x v="12"/>
    <s v="PF000003"/>
    <s v="MMC HAIR VITAMIN LOTION 100ML"/>
    <x v="2"/>
    <n v="59053"/>
    <n v="16.999999999999872"/>
    <n v="11"/>
    <n v="8"/>
    <n v="97"/>
    <n v="0"/>
    <n v="0"/>
    <n v="0"/>
    <n v="0"/>
    <n v="0"/>
    <n v="32"/>
    <n v="45"/>
    <n v="97"/>
    <n v="363.75"/>
    <n v="0"/>
    <n v="0"/>
    <n v="0"/>
    <n v="0"/>
    <n v="322.5"/>
    <n v="0"/>
    <n v="1003900.9999999924"/>
    <n v="649583"/>
    <n v="472424"/>
    <n v="0"/>
    <n v="5728141"/>
    <n v="50786"/>
    <n v="0"/>
    <n v="863361.99999999348"/>
    <n v="558646"/>
    <n v="406288"/>
    <n v="0"/>
    <n v="4926242"/>
    <x v="0"/>
    <n v="0"/>
    <n v="0"/>
    <n v="0"/>
    <n v="0"/>
  </r>
  <r>
    <n v="1682"/>
    <x v="12"/>
    <s v="PF000004"/>
    <s v="MMC BABY NATURAL SHAMPOO 200ML"/>
    <x v="2"/>
    <n v="33784"/>
    <n v="6.0000000000000391"/>
    <n v="48"/>
    <n v="17.333333333333336"/>
    <n v="96"/>
    <n v="0"/>
    <n v="0"/>
    <n v="0"/>
    <n v="0"/>
    <n v="32"/>
    <n v="32"/>
    <n v="45"/>
    <n v="96"/>
    <n v="166.15384615384613"/>
    <n v="0"/>
    <n v="32"/>
    <n v="0"/>
    <n v="0"/>
    <n v="83.076923076923066"/>
    <n v="0"/>
    <n v="202704.00000000131"/>
    <n v="1621632"/>
    <n v="585589.33333333337"/>
    <n v="0"/>
    <n v="3243264"/>
    <n v="29054"/>
    <n v="0"/>
    <n v="174324.00000000114"/>
    <n v="1394592"/>
    <n v="503602.66666666674"/>
    <n v="0"/>
    <n v="2789184"/>
    <x v="0"/>
    <n v="-32"/>
    <n v="0"/>
    <n v="0"/>
    <n v="0"/>
  </r>
  <r>
    <n v="1683"/>
    <x v="12"/>
    <s v="PF000005"/>
    <s v="MMC SKIN VITAMIN LOTION 100GR"/>
    <x v="3"/>
    <n v="43918"/>
    <n v="102.66666666666707"/>
    <n v="189"/>
    <n v="135.33333333333331"/>
    <n v="243"/>
    <n v="0"/>
    <n v="6"/>
    <n v="0"/>
    <n v="0"/>
    <n v="48"/>
    <n v="48"/>
    <n v="45"/>
    <n v="243"/>
    <n v="53.866995073891637"/>
    <n v="149"/>
    <n v="54"/>
    <n v="0"/>
    <n v="0"/>
    <n v="11.970443349753698"/>
    <n v="0"/>
    <n v="4508914.6666666847"/>
    <n v="8300502"/>
    <n v="5943569.3333333321"/>
    <n v="0"/>
    <n v="10672074"/>
    <n v="37769"/>
    <n v="0"/>
    <n v="3877617.3333333484"/>
    <n v="7138341"/>
    <n v="5111404.666666666"/>
    <n v="0"/>
    <n v="9177867"/>
    <x v="0"/>
    <n v="-54"/>
    <n v="0"/>
    <n v="0"/>
    <n v="0"/>
  </r>
  <r>
    <n v="1684"/>
    <x v="12"/>
    <s v="PF000006"/>
    <s v="MMC KIDS TOOTHPASTE STRAW 45G"/>
    <x v="2"/>
    <n v="33108"/>
    <n v="91.666666666666629"/>
    <n v="47"/>
    <n v="83"/>
    <n v="86"/>
    <n v="0"/>
    <n v="0"/>
    <n v="0"/>
    <n v="0"/>
    <n v="96"/>
    <n v="48"/>
    <n v="45"/>
    <n v="86"/>
    <n v="31.08433734939759"/>
    <n v="85.5"/>
    <n v="96"/>
    <n v="0"/>
    <n v="0"/>
    <n v="14.096385542168676"/>
    <n v="0"/>
    <n v="3034899.9999999986"/>
    <n v="1556076"/>
    <n v="2747964"/>
    <n v="0"/>
    <n v="2847288"/>
    <n v="28473"/>
    <n v="0"/>
    <n v="2610024.9999999991"/>
    <n v="1338231"/>
    <n v="2363259"/>
    <n v="0"/>
    <n v="2448678"/>
    <x v="0"/>
    <n v="-96"/>
    <n v="0"/>
    <n v="0"/>
    <n v="0"/>
  </r>
  <r>
    <n v="1685"/>
    <x v="12"/>
    <s v="PF000007"/>
    <s v="MMC KIDS TOOTHPASTE BUBGUM 45G"/>
    <x v="2"/>
    <n v="33108"/>
    <n v="29.6666666666666"/>
    <n v="19"/>
    <n v="15.666666666666666"/>
    <n v="445"/>
    <n v="0"/>
    <n v="0"/>
    <n v="0"/>
    <n v="0"/>
    <n v="0"/>
    <n v="48"/>
    <n v="45"/>
    <n v="445"/>
    <n v="852.12765957446811"/>
    <n v="0"/>
    <n v="0"/>
    <n v="0"/>
    <n v="0"/>
    <n v="815.74468085106389"/>
    <n v="0"/>
    <n v="982203.99999999779"/>
    <n v="629052"/>
    <n v="518692"/>
    <n v="0"/>
    <n v="14733060"/>
    <n v="28473"/>
    <n v="0"/>
    <n v="844698.99999999814"/>
    <n v="540987"/>
    <n v="446077"/>
    <n v="0"/>
    <n v="12670485"/>
    <x v="0"/>
    <n v="0"/>
    <n v="0"/>
    <n v="0"/>
    <n v="0"/>
  </r>
  <r>
    <n v="1686"/>
    <x v="12"/>
    <s v="PF000008"/>
    <s v="MMC KIDS TOOTHPASTE ORANGE 45G"/>
    <x v="2"/>
    <n v="33108"/>
    <n v="32.666666666666728"/>
    <n v="22"/>
    <n v="19.999999999999996"/>
    <n v="430"/>
    <n v="0"/>
    <n v="24"/>
    <n v="0"/>
    <n v="0"/>
    <n v="0"/>
    <n v="48"/>
    <n v="45"/>
    <n v="430"/>
    <n v="645.00000000000011"/>
    <n v="0"/>
    <n v="24"/>
    <n v="0"/>
    <n v="0"/>
    <n v="612.00000000000011"/>
    <n v="0"/>
    <n v="1081528.0000000021"/>
    <n v="728376"/>
    <n v="662159.99999999988"/>
    <n v="0"/>
    <n v="14236440"/>
    <n v="28473"/>
    <n v="0"/>
    <n v="930118.00000000175"/>
    <n v="626406"/>
    <n v="569459.99999999988"/>
    <n v="0"/>
    <n v="12243390"/>
    <x v="0"/>
    <n v="-24"/>
    <n v="0"/>
    <n v="0"/>
    <n v="0"/>
  </r>
  <r>
    <n v="1687"/>
    <x v="12"/>
    <s v="PF000011"/>
    <s v="MMC DAILY FACE MOISTURIZER 30ML"/>
    <x v="3"/>
    <n v="84459"/>
    <n v="135.33333333333661"/>
    <n v="48"/>
    <n v="128.33333333333334"/>
    <n v="453"/>
    <n v="47"/>
    <n v="0"/>
    <n v="0"/>
    <n v="0"/>
    <n v="48"/>
    <n v="48"/>
    <n v="45"/>
    <n v="500"/>
    <n v="116.88311688311687"/>
    <n v="0"/>
    <n v="48"/>
    <n v="0"/>
    <n v="0"/>
    <n v="105.66233766233766"/>
    <n v="0"/>
    <n v="11430118.000000278"/>
    <n v="4054032"/>
    <n v="10838905"/>
    <n v="0"/>
    <n v="42229500"/>
    <n v="72635"/>
    <n v="0"/>
    <n v="9829936.6666669045"/>
    <n v="3486480"/>
    <n v="9321491.6666666679"/>
    <n v="0"/>
    <n v="36317500"/>
    <x v="0"/>
    <n v="-48"/>
    <n v="0"/>
    <n v="0"/>
    <n v="0"/>
  </r>
  <r>
    <n v="1688"/>
    <x v="12"/>
    <s v="PF000012"/>
    <s v="MMC GENTLE FACE WASH 100ML"/>
    <x v="3"/>
    <n v="60810"/>
    <n v="102.33333333333367"/>
    <n v="50"/>
    <n v="84"/>
    <n v="139"/>
    <n v="0"/>
    <n v="39"/>
    <n v="0"/>
    <n v="0"/>
    <n v="48"/>
    <n v="48"/>
    <n v="45"/>
    <n v="139"/>
    <n v="49.642857142857139"/>
    <n v="37"/>
    <n v="87"/>
    <n v="0"/>
    <n v="0"/>
    <n v="31.785714285714285"/>
    <n v="0"/>
    <n v="6222890.0000000205"/>
    <n v="3040500"/>
    <n v="5108040"/>
    <n v="0"/>
    <n v="8452590"/>
    <n v="52297"/>
    <n v="0"/>
    <n v="5351726.3333333507"/>
    <n v="2614850"/>
    <n v="4392948"/>
    <n v="0"/>
    <n v="7269283"/>
    <x v="0"/>
    <n v="-87"/>
    <n v="0"/>
    <n v="0"/>
    <n v="0"/>
  </r>
  <r>
    <n v="1689"/>
    <x v="12"/>
    <s v="PF000013"/>
    <s v="MMC DRY SERUM DEODORANT 50ML"/>
    <x v="3"/>
    <n v="56014"/>
    <n v="19.666666666666671"/>
    <n v="16"/>
    <n v="9.3333333333333339"/>
    <n v="140"/>
    <n v="0"/>
    <n v="24"/>
    <n v="0"/>
    <n v="0"/>
    <n v="0"/>
    <n v="48"/>
    <n v="45"/>
    <n v="140"/>
    <n v="449.99999999999994"/>
    <n v="0"/>
    <n v="24"/>
    <n v="0"/>
    <n v="0"/>
    <n v="398.57142857142856"/>
    <n v="0"/>
    <n v="1101608.666666667"/>
    <n v="896224"/>
    <n v="522797.33333333337"/>
    <n v="0"/>
    <n v="7841960"/>
    <n v="48172"/>
    <n v="0"/>
    <n v="947382.66666666686"/>
    <n v="770752"/>
    <n v="449605.33333333337"/>
    <n v="0"/>
    <n v="6744080"/>
    <x v="0"/>
    <n v="-24"/>
    <n v="0"/>
    <n v="0"/>
    <n v="0"/>
  </r>
  <r>
    <n v="1690"/>
    <x v="12"/>
    <s v="PF000014"/>
    <s v="MMC STRETCH MARK SERUM 50ML"/>
    <x v="3"/>
    <n v="95270"/>
    <n v="47.666666666667069"/>
    <n v="34"/>
    <n v="54"/>
    <n v="254"/>
    <n v="0"/>
    <n v="6"/>
    <n v="0"/>
    <n v="0"/>
    <n v="36"/>
    <n v="36"/>
    <n v="45"/>
    <n v="254"/>
    <n v="141.11111111111109"/>
    <n v="0"/>
    <n v="42"/>
    <n v="0"/>
    <n v="0"/>
    <n v="122.22222222222223"/>
    <n v="0"/>
    <n v="4541203.3333333721"/>
    <n v="3239180"/>
    <n v="5144580"/>
    <n v="0"/>
    <n v="24198580"/>
    <n v="81932"/>
    <n v="0"/>
    <n v="3905425.3333333666"/>
    <n v="2785688"/>
    <n v="4424328"/>
    <n v="0"/>
    <n v="20810728"/>
    <x v="0"/>
    <n v="-42"/>
    <n v="0"/>
    <n v="0"/>
    <n v="0"/>
  </r>
  <r>
    <n v="1691"/>
    <x v="12"/>
    <s v="PF000015"/>
    <s v="MMC ADVANCED BRIGHT SERUM 30ML"/>
    <x v="1"/>
    <n v="101351"/>
    <n v="9.3333333333333108"/>
    <n v="3"/>
    <n v="5"/>
    <n v="233"/>
    <n v="0"/>
    <n v="0"/>
    <n v="0"/>
    <n v="0"/>
    <n v="0"/>
    <n v="45"/>
    <n v="45"/>
    <n v="233"/>
    <n v="1398"/>
    <n v="0"/>
    <n v="0"/>
    <n v="0"/>
    <n v="0"/>
    <n v="1380"/>
    <n v="0"/>
    <n v="945942.66666666442"/>
    <n v="304053"/>
    <n v="506755"/>
    <n v="0"/>
    <n v="23614783"/>
    <n v="87162"/>
    <n v="0"/>
    <n v="813511.99999999802"/>
    <n v="261486"/>
    <n v="435810"/>
    <n v="0"/>
    <n v="20308746"/>
    <x v="0"/>
    <n v="0"/>
    <n v="0"/>
    <n v="0"/>
    <n v="0"/>
  </r>
  <r>
    <n v="1692"/>
    <x v="12"/>
    <s v="PF000016"/>
    <s v="MMC FEMININE WASH 100ML"/>
    <x v="3"/>
    <n v="52635"/>
    <n v="164.66666666666669"/>
    <n v="56"/>
    <n v="153.33333333333334"/>
    <n v="294"/>
    <n v="56"/>
    <n v="4"/>
    <n v="0"/>
    <n v="0"/>
    <n v="60"/>
    <n v="60"/>
    <n v="45"/>
    <n v="350"/>
    <n v="68.478260869565219"/>
    <n v="0"/>
    <n v="64"/>
    <n v="0"/>
    <n v="0"/>
    <n v="57.521739130434774"/>
    <n v="0"/>
    <n v="8667230.0000000019"/>
    <n v="2947560"/>
    <n v="8070700.0000000009"/>
    <n v="0"/>
    <n v="18422250"/>
    <n v="45266"/>
    <n v="0"/>
    <n v="7453801.333333334"/>
    <n v="2534896"/>
    <n v="6940786.666666667"/>
    <n v="0"/>
    <n v="15843100"/>
    <x v="0"/>
    <n v="-64"/>
    <n v="0"/>
    <n v="0"/>
    <n v="0"/>
  </r>
  <r>
    <n v="1693"/>
    <x v="12"/>
    <s v="PF000017"/>
    <s v="MMC INTENSIVE NIPPLE CREAM 15ML"/>
    <x v="3"/>
    <n v="54053"/>
    <n v="44.666666666666686"/>
    <n v="42"/>
    <n v="22.999999999999996"/>
    <n v="190"/>
    <n v="5"/>
    <n v="0"/>
    <n v="1"/>
    <n v="0"/>
    <n v="0"/>
    <n v="48"/>
    <n v="45"/>
    <n v="196"/>
    <n v="255.6521739130435"/>
    <n v="0"/>
    <n v="0"/>
    <n v="0"/>
    <n v="0"/>
    <n v="200.86956521739134"/>
    <n v="0"/>
    <n v="2414367.3333333344"/>
    <n v="2270226"/>
    <n v="1243218.9999999998"/>
    <n v="0"/>
    <n v="10594388"/>
    <n v="46486"/>
    <n v="0"/>
    <n v="2076374.6666666674"/>
    <n v="1952412"/>
    <n v="1069177.9999999998"/>
    <n v="0"/>
    <n v="9111256"/>
    <x v="0"/>
    <n v="0"/>
    <n v="0"/>
    <n v="0"/>
    <n v="0"/>
  </r>
  <r>
    <n v="1694"/>
    <x v="12"/>
    <s v="PF000018"/>
    <s v="MMC ALMOND POWDER COKELAT 200GR"/>
    <x v="1"/>
    <n v="49999"/>
    <n v="2.6666666666666003"/>
    <n v="5"/>
    <n v="1.6666666666666665"/>
    <n v="19"/>
    <n v="0"/>
    <n v="0"/>
    <n v="0"/>
    <n v="0"/>
    <n v="0"/>
    <n v="40"/>
    <n v="45"/>
    <n v="19"/>
    <n v="342"/>
    <n v="0"/>
    <n v="0"/>
    <n v="0"/>
    <n v="0"/>
    <n v="252"/>
    <n v="0"/>
    <n v="133330.66666666334"/>
    <n v="249995"/>
    <n v="83331.666666666657"/>
    <n v="0"/>
    <n v="949981"/>
    <n v="42999"/>
    <n v="0"/>
    <n v="114663.99999999715"/>
    <n v="214995"/>
    <n v="71665"/>
    <n v="0"/>
    <n v="816981"/>
    <x v="0"/>
    <n v="0"/>
    <n v="0"/>
    <n v="0"/>
    <n v="0"/>
  </r>
  <r>
    <n v="1695"/>
    <x v="12"/>
    <s v="PF000019"/>
    <s v="MMC BREASTFEEDING SUPPORT 30S"/>
    <x v="1"/>
    <n v="47296"/>
    <n v="3.3333333333333002"/>
    <n v="3"/>
    <n v="2.3333333333333335"/>
    <n v="0"/>
    <n v="0"/>
    <n v="0"/>
    <n v="0"/>
    <n v="0"/>
    <n v="0"/>
    <n v="100"/>
    <n v="45"/>
    <n v="0"/>
    <n v="0"/>
    <n v="6.5"/>
    <n v="0"/>
    <n v="0"/>
    <n v="0"/>
    <n v="0"/>
    <n v="0"/>
    <n v="157653.33333333177"/>
    <n v="141888"/>
    <n v="110357.33333333334"/>
    <n v="0"/>
    <n v="0"/>
    <n v="40675"/>
    <n v="0"/>
    <n v="135583.33333333198"/>
    <n v="122025"/>
    <n v="94908.333333333343"/>
    <n v="0"/>
    <n v="0"/>
    <x v="0"/>
    <n v="0"/>
    <n v="0"/>
    <n v="0"/>
    <n v="0"/>
  </r>
  <r>
    <n v="1696"/>
    <x v="12"/>
    <s v="PF000020"/>
    <s v="MMC ALMOND POWDER MATCHA 200GR"/>
    <x v="1"/>
    <n v="49999"/>
    <n v="2.6666666666666003"/>
    <n v="5"/>
    <n v="1.6666666666666665"/>
    <n v="19"/>
    <n v="0"/>
    <n v="0"/>
    <n v="0"/>
    <n v="0"/>
    <n v="0"/>
    <n v="40"/>
    <n v="45"/>
    <n v="19"/>
    <n v="342"/>
    <n v="0"/>
    <n v="0"/>
    <n v="0"/>
    <n v="0"/>
    <n v="252"/>
    <n v="0"/>
    <n v="133330.66666666334"/>
    <n v="249995"/>
    <n v="83331.666666666657"/>
    <n v="0"/>
    <n v="949981"/>
    <n v="42999"/>
    <n v="0"/>
    <n v="114663.99999999715"/>
    <n v="214995"/>
    <n v="71665"/>
    <n v="0"/>
    <n v="816981"/>
    <x v="0"/>
    <n v="0"/>
    <n v="0"/>
    <n v="0"/>
    <n v="0"/>
  </r>
  <r>
    <n v="1697"/>
    <x v="12"/>
    <s v="PF000022"/>
    <s v="MMC STRETCH MARK CREAM 100ML"/>
    <x v="3"/>
    <n v="57365"/>
    <n v="57.333333333333073"/>
    <n v="41"/>
    <n v="52.666666666666664"/>
    <n v="101"/>
    <n v="0"/>
    <n v="0"/>
    <n v="0"/>
    <n v="0"/>
    <n v="48"/>
    <n v="48"/>
    <n v="45"/>
    <n v="101"/>
    <n v="57.531645569620252"/>
    <n v="19"/>
    <n v="48"/>
    <n v="0"/>
    <n v="0"/>
    <n v="34.177215189873422"/>
    <n v="0"/>
    <n v="3288926.6666666516"/>
    <n v="2351965"/>
    <n v="3021223.333333333"/>
    <n v="0"/>
    <n v="5793865"/>
    <n v="49334"/>
    <n v="0"/>
    <n v="2828482.6666666539"/>
    <n v="2022694"/>
    <n v="2598257.333333333"/>
    <n v="0"/>
    <n v="4982734"/>
    <x v="0"/>
    <n v="-48"/>
    <n v="0"/>
    <n v="0"/>
    <n v="0"/>
  </r>
  <r>
    <n v="1698"/>
    <x v="12"/>
    <s v="PF000023"/>
    <s v="MMC TOOTHPASTE NON-FLORIDE  100GR"/>
    <x v="1"/>
    <n v="51351"/>
    <n v="2"/>
    <n v="2"/>
    <n v="0.66666666666666663"/>
    <n v="18"/>
    <n v="0"/>
    <n v="0"/>
    <n v="0"/>
    <n v="0"/>
    <n v="0"/>
    <n v="48"/>
    <n v="45"/>
    <n v="18"/>
    <n v="810"/>
    <n v="0"/>
    <n v="0"/>
    <n v="0"/>
    <n v="0"/>
    <n v="720"/>
    <n v="0"/>
    <n v="102702"/>
    <n v="102702"/>
    <n v="34234"/>
    <n v="0"/>
    <n v="924318"/>
    <n v="44162"/>
    <n v="0"/>
    <n v="88324"/>
    <n v="88324"/>
    <n v="29441.333333333332"/>
    <n v="0"/>
    <n v="794916"/>
    <x v="0"/>
    <n v="0"/>
    <n v="0"/>
    <n v="0"/>
    <n v="0"/>
  </r>
  <r>
    <n v="1699"/>
    <x v="13"/>
    <s v="PF300001"/>
    <s v="FLIMTY FIBER MANGO 16 SACHET"/>
    <x v="3"/>
    <n v="190779"/>
    <n v="2219.6666666666633"/>
    <n v="2592.3924999999999"/>
    <n v="2307.1308333333341"/>
    <n v="4218"/>
    <n v="180"/>
    <n v="0"/>
    <n v="0"/>
    <n v="0"/>
    <n v="1110"/>
    <n v="30"/>
    <n v="45"/>
    <n v="4398"/>
    <n v="57.187914137220204"/>
    <n v="1655.0887500000008"/>
    <n v="1110"/>
    <n v="1439.9272125000007"/>
    <n v="1440"/>
    <n v="42.203165764692571"/>
    <n v="274721760"/>
    <n v="423465786.99999934"/>
    <n v="494574048.75749999"/>
    <n v="440152113.25250012"/>
    <n v="0"/>
    <n v="839046042"/>
    <n v="162162"/>
    <n v="233513280"/>
    <n v="359945585.99999946"/>
    <n v="420387552.58499998"/>
    <n v="374128950.19500011"/>
    <n v="0"/>
    <n v="713188476"/>
    <x v="0"/>
    <n v="330"/>
    <n v="0"/>
    <n v="0"/>
    <n v="0"/>
  </r>
  <r>
    <n v="1700"/>
    <x v="13"/>
    <s v="PF300002"/>
    <s v="FLIMTY FIBER BLACKCURRANT 16 SACHET"/>
    <x v="3"/>
    <n v="190779"/>
    <n v="4373.333333333343"/>
    <n v="4445.2"/>
    <n v="4300.0666666666666"/>
    <n v="6268"/>
    <n v="540"/>
    <n v="0"/>
    <n v="2"/>
    <n v="0"/>
    <n v="2010"/>
    <n v="30"/>
    <n v="45"/>
    <n v="6810"/>
    <n v="47.510891304010791"/>
    <n v="4085.2999999999993"/>
    <n v="2008"/>
    <n v="3472.5049999999992"/>
    <n v="3480"/>
    <n v="40.777042216399749"/>
    <n v="663910920"/>
    <n v="834340160.00000191"/>
    <n v="848050810.79999995"/>
    <n v="820362418.60000002"/>
    <n v="0"/>
    <n v="1299204990"/>
    <n v="162162"/>
    <n v="564323760"/>
    <n v="709188480.00000155"/>
    <n v="720842522.39999998"/>
    <n v="697307410.79999995"/>
    <n v="0"/>
    <n v="1104323220"/>
    <x v="0"/>
    <n v="1472"/>
    <n v="1378"/>
    <n v="1798"/>
    <n v="2278"/>
  </r>
  <r>
    <n v="1701"/>
    <x v="13"/>
    <s v="PF300003"/>
    <s v="FLIMTY FIBER RASPBERRY 16 SACHET"/>
    <x v="3"/>
    <n v="190779"/>
    <n v="3356.333333333323"/>
    <n v="3677.596"/>
    <n v="3453.8653333333341"/>
    <n v="5110"/>
    <n v="570"/>
    <n v="0"/>
    <n v="0"/>
    <n v="0"/>
    <n v="1680"/>
    <n v="30"/>
    <n v="45"/>
    <n v="5680"/>
    <n v="49.336028928361991"/>
    <n v="3178.3940000000002"/>
    <n v="1680"/>
    <n v="2701.6349"/>
    <n v="2700"/>
    <n v="40.844707707191048"/>
    <n v="515103300"/>
    <n v="640317916.99999809"/>
    <n v="701608087.28400004"/>
    <n v="658924974.42800009"/>
    <n v="0"/>
    <n v="1083624720"/>
    <n v="162162"/>
    <n v="437837400"/>
    <n v="544269725.99999833"/>
    <n v="596366322.55200005"/>
    <n v="560085710.18400013"/>
    <n v="0"/>
    <n v="921080160"/>
    <x v="0"/>
    <n v="1020"/>
    <n v="0"/>
    <n v="0"/>
    <n v="0"/>
  </r>
  <r>
    <n v="1702"/>
    <x v="13"/>
    <s v="PF300005"/>
    <s v="FLIMTY BLACKCURRANT 5 S @15GR"/>
    <x v="2"/>
    <n v="79491"/>
    <n v="387.66666666666617"/>
    <n v="411.45699999999999"/>
    <n v="415.15233333333333"/>
    <n v="716"/>
    <n v="120"/>
    <n v="0"/>
    <n v="18"/>
    <n v="0"/>
    <n v="636"/>
    <n v="98"/>
    <n v="45"/>
    <n v="854"/>
    <n v="61.712287136368417"/>
    <n v="180.18550000000005"/>
    <n v="618"/>
    <n v="618"/>
    <n v="588"/>
    <n v="74.469748855239501"/>
    <n v="46740708"/>
    <n v="30816010.999999959"/>
    <n v="32707128.386999998"/>
    <n v="33000874.129000001"/>
    <n v="0"/>
    <n v="67885314"/>
    <n v="67567"/>
    <n v="39729396"/>
    <n v="26193473.666666634"/>
    <n v="27800915.118999999"/>
    <n v="28050597.706333332"/>
    <n v="0"/>
    <n v="57702218"/>
    <x v="0"/>
    <n v="-30"/>
    <n v="176"/>
    <n v="212"/>
    <n v="224"/>
  </r>
  <r>
    <n v="1703"/>
    <x v="13"/>
    <s v="PF300006"/>
    <s v="FLIMEAL COKELAT SUSU 12 S @50GR"/>
    <x v="2"/>
    <n v="224695"/>
    <n v="110.6666666666661"/>
    <n v="196.02350000000001"/>
    <n v="125.67450000000001"/>
    <n v="731"/>
    <n v="10"/>
    <n v="0"/>
    <n v="100"/>
    <n v="0"/>
    <n v="40"/>
    <n v="30"/>
    <n v="45"/>
    <n v="841"/>
    <n v="200.75671675638256"/>
    <n v="0"/>
    <n v="0"/>
    <n v="0"/>
    <n v="0"/>
    <n v="153.96357256245298"/>
    <n v="0"/>
    <n v="24866246.666666541"/>
    <n v="44045500.332500003"/>
    <n v="28238431.777500004"/>
    <n v="0"/>
    <n v="188968495"/>
    <n v="190991"/>
    <n v="0"/>
    <n v="21136337.333333224"/>
    <n v="37438724.288500004"/>
    <n v="24002698.429500002"/>
    <n v="0"/>
    <n v="160623431"/>
    <x v="0"/>
    <n v="0"/>
    <n v="0"/>
    <n v="0"/>
    <n v="0"/>
  </r>
  <r>
    <n v="1704"/>
    <x v="13"/>
    <s v="PF300007"/>
    <s v="FLIMCOL 10 S @15 GR"/>
    <x v="2"/>
    <n v="153895"/>
    <n v="75.666666666666359"/>
    <n v="88.804000000000002"/>
    <n v="79.601333333333343"/>
    <n v="622"/>
    <n v="0"/>
    <n v="0"/>
    <n v="0"/>
    <n v="0"/>
    <n v="10"/>
    <n v="30"/>
    <n v="45"/>
    <n v="622"/>
    <n v="234.41818395001755"/>
    <n v="0"/>
    <n v="10"/>
    <n v="0"/>
    <n v="0"/>
    <n v="200.94990033667776"/>
    <n v="0"/>
    <n v="11644721.666666619"/>
    <n v="13666491.58"/>
    <n v="12250247.193333335"/>
    <n v="0"/>
    <n v="95722690"/>
    <n v="130811"/>
    <n v="0"/>
    <n v="9898032.333333293"/>
    <n v="11616540.044"/>
    <n v="10412730.014666667"/>
    <n v="0"/>
    <n v="81364442"/>
    <x v="0"/>
    <n v="-10"/>
    <n v="0"/>
    <n v="0"/>
    <n v="0"/>
  </r>
  <r>
    <n v="1705"/>
    <x v="13"/>
    <s v="PF300008"/>
    <s v="FLIMBURN CAPS @60"/>
    <x v="2"/>
    <n v="206677"/>
    <n v="37.333333333333258"/>
    <n v="53.575000000000003"/>
    <n v="39.858333333333334"/>
    <n v="497"/>
    <n v="0"/>
    <n v="0"/>
    <n v="6"/>
    <n v="0"/>
    <n v="10"/>
    <n v="60"/>
    <n v="45"/>
    <n v="503"/>
    <n v="378.59084256742631"/>
    <n v="0"/>
    <n v="4"/>
    <n v="0"/>
    <n v="0"/>
    <n v="338.26677817269501"/>
    <n v="0"/>
    <n v="7715941.3333333181"/>
    <n v="11072720.275"/>
    <n v="8237800.7583333338"/>
    <n v="0"/>
    <n v="103958531"/>
    <n v="175675"/>
    <n v="0"/>
    <n v="6558533.33333332"/>
    <n v="9411788.125"/>
    <n v="7002112.708333334"/>
    <n v="0"/>
    <n v="88364525"/>
    <x v="0"/>
    <n v="-4"/>
    <n v="4"/>
    <n v="4"/>
    <n v="4"/>
  </r>
  <r>
    <n v="1706"/>
    <x v="13"/>
    <s v="PF300009"/>
    <s v="STEVIBE 15 ML"/>
    <x v="2"/>
    <n v="54486"/>
    <n v="50"/>
    <n v="11"/>
    <n v="53.666666666666664"/>
    <n v="0"/>
    <n v="60"/>
    <n v="0"/>
    <n v="0"/>
    <n v="0"/>
    <n v="10"/>
    <n v="30"/>
    <n v="45"/>
    <n v="60"/>
    <n v="33.540372670807457"/>
    <n v="31.5"/>
    <n v="10"/>
    <n v="31.5"/>
    <n v="30"/>
    <n v="44.161490683229815"/>
    <n v="1634580"/>
    <n v="2724300"/>
    <n v="599346"/>
    <n v="2924082"/>
    <n v="0"/>
    <n v="3269160"/>
    <n v="46314"/>
    <n v="1389420"/>
    <n v="2315700"/>
    <n v="509454"/>
    <n v="2485518"/>
    <n v="0"/>
    <n v="2778840"/>
    <x v="0"/>
    <n v="20"/>
    <n v="0"/>
    <n v="0"/>
    <n v="0"/>
  </r>
  <r>
    <n v="1707"/>
    <x v="14"/>
    <s v="PF400004"/>
    <s v="LAYS RUMPUT LAUT 64G"/>
    <x v="4"/>
    <n v="9487"/>
    <n v="14309.333333333358"/>
    <n v="82577"/>
    <n v="43853.333333333328"/>
    <n v="22256"/>
    <n v="1210"/>
    <n v="10010"/>
    <n v="0"/>
    <n v="10428"/>
    <n v="93588"/>
    <n v="22"/>
    <n v="45"/>
    <n v="23466"/>
    <n v="16.053055640012165"/>
    <n v="114463"/>
    <n v="93170"/>
    <n v="114463"/>
    <n v="114466"/>
    <n v="45.002052295530561"/>
    <n v="1085938942"/>
    <n v="135752645.33333355"/>
    <n v="783407999"/>
    <n v="416036573.33333331"/>
    <n v="98930436"/>
    <n v="222621942"/>
    <n v="8443"/>
    <n v="966436438"/>
    <n v="120813701.33333354"/>
    <n v="697197611"/>
    <n v="370253693.33333331"/>
    <n v="88043604"/>
    <n v="198123438"/>
    <x v="0"/>
    <n v="21296"/>
    <n v="0"/>
    <n v="0"/>
    <n v="0"/>
  </r>
  <r>
    <n v="1708"/>
    <x v="14"/>
    <s v="PF400006"/>
    <s v="LAYS WAVY DAGING SAPI BAKAR 64G"/>
    <x v="4"/>
    <n v="9487"/>
    <n v="49096.666666667006"/>
    <n v="52759"/>
    <n v="41467.333333333328"/>
    <n v="24099"/>
    <n v="176"/>
    <n v="7744"/>
    <n v="0"/>
    <n v="8118"/>
    <n v="51788"/>
    <n v="22"/>
    <n v="45"/>
    <n v="24275"/>
    <n v="17.562016687834603"/>
    <n v="82567"/>
    <n v="51414"/>
    <n v="82567"/>
    <n v="82566"/>
    <n v="44.999276538962405"/>
    <n v="783303642"/>
    <n v="465780076.66666991"/>
    <n v="500524633"/>
    <n v="393400591.33333331"/>
    <n v="77015466"/>
    <n v="230296925"/>
    <n v="8443"/>
    <n v="697104738"/>
    <n v="414523156.66666955"/>
    <n v="445444237"/>
    <n v="350108695.33333331"/>
    <n v="68540274"/>
    <n v="204953825"/>
    <x v="0"/>
    <n v="31152"/>
    <n v="0"/>
    <n v="0"/>
    <n v="0"/>
  </r>
  <r>
    <n v="1709"/>
    <x v="14"/>
    <s v="PF400010"/>
    <s v="CHEETOS JAGUNG BAKAR KEJU 120G"/>
    <x v="4"/>
    <n v="8854"/>
    <n v="201989.33333333395"/>
    <n v="116726"/>
    <n v="140686"/>
    <n v="55778"/>
    <n v="560"/>
    <n v="15750"/>
    <n v="0"/>
    <n v="17108"/>
    <n v="147938"/>
    <n v="14"/>
    <n v="45"/>
    <n v="56338"/>
    <n v="12.013562117055002"/>
    <n v="254309"/>
    <n v="146580"/>
    <n v="254309"/>
    <n v="254310"/>
    <n v="45.000213240834199"/>
    <n v="2251660740"/>
    <n v="1788413557.3333387"/>
    <n v="1033492004"/>
    <n v="1245633844"/>
    <n v="151474232"/>
    <n v="498816652"/>
    <n v="7880"/>
    <n v="2003962800"/>
    <n v="1591675946.6666715"/>
    <n v="919800880"/>
    <n v="1108605680"/>
    <n v="134811040"/>
    <n v="443943440"/>
    <x v="0"/>
    <n v="107730"/>
    <n v="0"/>
    <n v="0"/>
    <n v="0"/>
  </r>
  <r>
    <n v="1710"/>
    <x v="14"/>
    <s v="PF400012"/>
    <s v="CHEETOS KEJU 120G"/>
    <x v="4"/>
    <n v="8854"/>
    <n v="225202.66666666567"/>
    <n v="137672"/>
    <n v="173691.66666666663"/>
    <n v="51043"/>
    <n v="742"/>
    <n v="18872"/>
    <n v="14"/>
    <n v="19180"/>
    <n v="182014"/>
    <n v="14"/>
    <n v="45"/>
    <n v="51799"/>
    <n v="8.9467159238113538"/>
    <n v="327230.49999999994"/>
    <n v="181692"/>
    <n v="327230.49999999994"/>
    <n v="327236"/>
    <n v="45.000949959218936"/>
    <n v="2897347544"/>
    <n v="1993944410.6666579"/>
    <n v="1218947888"/>
    <n v="1537866016.6666663"/>
    <n v="169819720"/>
    <n v="458628346"/>
    <n v="7880"/>
    <n v="2578619680"/>
    <n v="1774597013.3333254"/>
    <n v="1084855360"/>
    <n v="1368690333.333333"/>
    <n v="151138400"/>
    <n v="408176120"/>
    <x v="0"/>
    <n v="145544"/>
    <n v="71890"/>
    <n v="117404"/>
    <n v="162890"/>
  </r>
  <r>
    <n v="1711"/>
    <x v="14"/>
    <s v="PF400013"/>
    <s v="DORITOS JAGUNG BAKAR 55G"/>
    <x v="4"/>
    <n v="5130"/>
    <n v="56586.333333333547"/>
    <n v="57897"/>
    <n v="45562.666666666672"/>
    <n v="22556"/>
    <n v="1134"/>
    <n v="4746"/>
    <n v="0"/>
    <n v="4914"/>
    <n v="65268"/>
    <n v="42"/>
    <n v="45"/>
    <n v="23690"/>
    <n v="15.598296851223223"/>
    <n v="97637"/>
    <n v="65100"/>
    <n v="97637"/>
    <n v="97650"/>
    <n v="45.008559639470903"/>
    <n v="500944500"/>
    <n v="290287890.00000107"/>
    <n v="297011610"/>
    <n v="233736480.00000003"/>
    <n v="25208820"/>
    <n v="121529700"/>
    <n v="4565"/>
    <n v="445772250"/>
    <n v="258316611.66666764"/>
    <n v="264299805"/>
    <n v="207993573.33333334"/>
    <n v="22432410"/>
    <n v="108144850"/>
    <x v="0"/>
    <n v="32550"/>
    <n v="0"/>
    <n v="0"/>
    <n v="0"/>
  </r>
  <r>
    <n v="1712"/>
    <x v="14"/>
    <s v="PF400014"/>
    <s v="DORITOS JAGUNG BAKAR 120G"/>
    <x v="4"/>
    <n v="8432"/>
    <n v="153162"/>
    <n v="95072"/>
    <n v="96722.000000000015"/>
    <n v="19330"/>
    <n v="0"/>
    <n v="8904"/>
    <n v="0"/>
    <n v="9312"/>
    <n v="128424"/>
    <n v="24"/>
    <n v="45"/>
    <n v="19330"/>
    <n v="5.9955335911168079"/>
    <n v="211513.00000000003"/>
    <n v="128016"/>
    <n v="211513.00000000003"/>
    <n v="211512"/>
    <n v="44.999689832716435"/>
    <n v="1783469184"/>
    <n v="1291461984"/>
    <n v="801647104"/>
    <n v="815559904.00000012"/>
    <n v="78518784"/>
    <n v="162990560"/>
    <n v="7505"/>
    <n v="1587397560"/>
    <n v="1149480810"/>
    <n v="713515360"/>
    <n v="725898610.00000012"/>
    <n v="69886560"/>
    <n v="145071650"/>
    <x v="0"/>
    <n v="83496"/>
    <n v="0"/>
    <n v="0"/>
    <n v="0"/>
  </r>
  <r>
    <n v="1713"/>
    <x v="14"/>
    <s v="PF400016"/>
    <s v="DORITOS SAMBAL SALSA 120G"/>
    <x v="4"/>
    <n v="8432"/>
    <n v="83048.666666666308"/>
    <n v="39168"/>
    <n v="69051.666666666672"/>
    <n v="6000"/>
    <n v="96"/>
    <n v="0"/>
    <n v="0"/>
    <n v="0"/>
    <n v="62424"/>
    <n v="24"/>
    <n v="45"/>
    <n v="6096"/>
    <n v="2.6484516424899227"/>
    <n v="136649.5"/>
    <n v="62424"/>
    <n v="136649.5"/>
    <n v="136656"/>
    <n v="45.002823972387823"/>
    <n v="1152283392"/>
    <n v="700266357.33333027"/>
    <n v="330264576"/>
    <n v="582243653.33333337"/>
    <n v="0"/>
    <n v="51401472"/>
    <n v="7505"/>
    <n v="1025603280"/>
    <n v="623280243.33333063"/>
    <n v="293955840"/>
    <n v="518232758.33333337"/>
    <n v="0"/>
    <n v="45750480"/>
    <x v="0"/>
    <n v="74232"/>
    <n v="0"/>
    <n v="0"/>
    <n v="0"/>
  </r>
  <r>
    <n v="1714"/>
    <x v="14"/>
    <s v="PF400035"/>
    <s v="LAYS RUMPUT LAUT 105G"/>
    <x v="4"/>
    <n v="13281"/>
    <n v="16262.999999999887"/>
    <n v="31772"/>
    <n v="27208.333333333328"/>
    <n v="12938"/>
    <n v="0"/>
    <n v="3094"/>
    <n v="0"/>
    <n v="3122"/>
    <n v="35000"/>
    <n v="14"/>
    <n v="45"/>
    <n v="12938"/>
    <n v="14.265482388973968"/>
    <n v="56524.5"/>
    <n v="34972"/>
    <n v="56524.5"/>
    <n v="56518"/>
    <n v="44.992833078101079"/>
    <n v="750615558"/>
    <n v="215988902.99999851"/>
    <n v="421963932"/>
    <n v="361353874.99999994"/>
    <n v="41463282"/>
    <n v="171829578"/>
    <n v="11820"/>
    <n v="668042760"/>
    <n v="192228659.99999866"/>
    <n v="375545040"/>
    <n v="321602499.99999994"/>
    <n v="36902040"/>
    <n v="152927160"/>
    <x v="0"/>
    <n v="21546"/>
    <n v="0"/>
    <n v="0"/>
    <n v="0"/>
  </r>
  <r>
    <n v="1715"/>
    <x v="14"/>
    <s v="PF400036"/>
    <s v="LAYS WAVY DAGING SAPI BAKAR 105G"/>
    <x v="4"/>
    <n v="13281"/>
    <n v="26406.666666666661"/>
    <n v="24271"/>
    <n v="22394.666666666668"/>
    <n v="11200"/>
    <n v="112"/>
    <n v="3010"/>
    <n v="0"/>
    <n v="3136"/>
    <n v="25410"/>
    <n v="14"/>
    <n v="45"/>
    <n v="11312"/>
    <n v="15.153608001905216"/>
    <n v="43415"/>
    <n v="25284"/>
    <n v="43415"/>
    <n v="43414"/>
    <n v="44.998660395332223"/>
    <n v="576581334"/>
    <n v="350706939.99999994"/>
    <n v="322343151"/>
    <n v="297423568"/>
    <n v="41649216"/>
    <n v="150234672"/>
    <n v="11820"/>
    <n v="513153480"/>
    <n v="312126799.99999994"/>
    <n v="286883220"/>
    <n v="264704960"/>
    <n v="37067520"/>
    <n v="133707840"/>
    <x v="0"/>
    <n v="18130"/>
    <n v="0"/>
    <n v="0"/>
    <n v="0"/>
  </r>
  <r>
    <n v="1716"/>
    <x v="14"/>
    <s v="PF400037"/>
    <s v="LAYS WAVY RUMPUT LAUT PEDAS 64G"/>
    <x v="4"/>
    <n v="9487"/>
    <n v="38703.999999999825"/>
    <n v="18367"/>
    <n v="28409.999999999993"/>
    <n v="6369"/>
    <n v="154"/>
    <n v="3476"/>
    <n v="0"/>
    <n v="3498"/>
    <n v="31086"/>
    <n v="22"/>
    <n v="45"/>
    <n v="6523"/>
    <n v="6.8880675818373831"/>
    <n v="50960.999999999985"/>
    <n v="31064"/>
    <n v="50960.999999999985"/>
    <n v="50952"/>
    <n v="44.990496304118274"/>
    <n v="483381624"/>
    <n v="367184847.99999833"/>
    <n v="174247729"/>
    <n v="269525669.99999994"/>
    <n v="33185526"/>
    <n v="61883701"/>
    <n v="8443"/>
    <n v="430187736"/>
    <n v="326777871.99999851"/>
    <n v="155072581"/>
    <n v="239865629.99999994"/>
    <n v="29533614"/>
    <n v="55073689"/>
    <x v="0"/>
    <n v="19888"/>
    <n v="0"/>
    <n v="0"/>
    <n v="0"/>
  </r>
  <r>
    <n v="1717"/>
    <x v="14"/>
    <s v="PF400038"/>
    <s v="LAYS WAVY RUMPUT LAUT PEDAS 105G"/>
    <x v="4"/>
    <n v="13281"/>
    <n v="15441.666666666706"/>
    <n v="18974"/>
    <n v="16544.000000000004"/>
    <n v="7560"/>
    <n v="14"/>
    <n v="2506"/>
    <n v="0"/>
    <n v="2576"/>
    <n v="21028"/>
    <n v="14"/>
    <n v="45"/>
    <n v="7574"/>
    <n v="13.734284332688585"/>
    <n v="33640.000000000007"/>
    <n v="20958"/>
    <n v="33640.000000000007"/>
    <n v="33642"/>
    <n v="45.003626692456471"/>
    <n v="446799402"/>
    <n v="205080775.00000054"/>
    <n v="251993694"/>
    <n v="219720864.00000006"/>
    <n v="34211856"/>
    <n v="100590294"/>
    <n v="11820"/>
    <n v="397648440"/>
    <n v="182520500.00000048"/>
    <n v="224272680"/>
    <n v="195550080.00000003"/>
    <n v="30448320"/>
    <n v="89524680"/>
    <x v="0"/>
    <n v="12684"/>
    <n v="0"/>
    <n v="0"/>
    <n v="0"/>
  </r>
  <r>
    <n v="1718"/>
    <x v="14"/>
    <s v="PF400039"/>
    <s v="CHEETOS JAGUNG BAKAR KEJU 60G"/>
    <x v="4"/>
    <n v="5130"/>
    <n v="139767.33333333198"/>
    <n v="98892"/>
    <n v="124136.66666666666"/>
    <n v="14736"/>
    <n v="1200"/>
    <n v="15600"/>
    <n v="0"/>
    <n v="19770"/>
    <n v="149910"/>
    <n v="30"/>
    <n v="45"/>
    <n v="15936"/>
    <n v="3.8512392255847057"/>
    <n v="249391"/>
    <n v="145740"/>
    <n v="249391"/>
    <n v="249390"/>
    <n v="44.999758330871892"/>
    <n v="1279370700"/>
    <n v="717006419.99999309"/>
    <n v="507315960"/>
    <n v="636821100"/>
    <n v="101420100"/>
    <n v="81751680"/>
    <n v="4566"/>
    <n v="1138714740"/>
    <n v="638177643.9999938"/>
    <n v="451540872"/>
    <n v="566808020"/>
    <n v="90269820"/>
    <n v="72763776"/>
    <x v="0"/>
    <n v="103650"/>
    <n v="0"/>
    <n v="0"/>
    <n v="0"/>
  </r>
  <r>
    <n v="1719"/>
    <x v="14"/>
    <s v="PF400040"/>
    <s v="CHEETOS KEJU 60G"/>
    <x v="4"/>
    <n v="5130"/>
    <n v="195704.66666666727"/>
    <n v="164451"/>
    <n v="187472"/>
    <n v="31915"/>
    <n v="1050"/>
    <n v="29910"/>
    <n v="0"/>
    <n v="30930"/>
    <n v="214440"/>
    <n v="30"/>
    <n v="45"/>
    <n v="32965"/>
    <n v="5.275187761372365"/>
    <n v="381764"/>
    <n v="213420"/>
    <n v="381764"/>
    <n v="381750"/>
    <n v="44.997759665443368"/>
    <n v="1958377500"/>
    <n v="1003964940.0000031"/>
    <n v="843633630"/>
    <n v="961731360"/>
    <n v="158670900"/>
    <n v="169110450"/>
    <n v="4566"/>
    <n v="1743070500"/>
    <n v="893587508.00000274"/>
    <n v="750883266"/>
    <n v="855997152"/>
    <n v="141226380"/>
    <n v="150518190"/>
    <x v="0"/>
    <n v="168330"/>
    <n v="0"/>
    <n v="0"/>
    <n v="0"/>
  </r>
  <r>
    <n v="1720"/>
    <x v="14"/>
    <s v="PF400041"/>
    <s v="LAYS RUMPUT LAUT 45G"/>
    <x v="4"/>
    <n v="6810.81"/>
    <n v="47958.666666666642"/>
    <n v="44249"/>
    <n v="39131.666666666664"/>
    <n v="12572"/>
    <n v="1152"/>
    <n v="5400"/>
    <n v="0"/>
    <n v="5496"/>
    <n v="54720"/>
    <n v="24"/>
    <n v="45"/>
    <n v="13724"/>
    <n v="10.521402104007837"/>
    <n v="83726.5"/>
    <n v="54624"/>
    <n v="83726.5"/>
    <n v="83736"/>
    <n v="45.00728310405043"/>
    <n v="570309986.16000009"/>
    <n v="326637366.51999986"/>
    <n v="301371531.69"/>
    <n v="266518346.65000001"/>
    <n v="37432211.760000005"/>
    <n v="93471556.440000013"/>
    <n v="6062"/>
    <n v="507607632"/>
    <n v="290725437.33333319"/>
    <n v="268237438"/>
    <n v="237216163.33333331"/>
    <n v="33316752"/>
    <n v="83194888"/>
    <x v="0"/>
    <n v="29112"/>
    <n v="0"/>
    <n v="0"/>
    <n v="0"/>
  </r>
  <r>
    <n v="1721"/>
    <x v="14"/>
    <s v="PF400042"/>
    <s v="LAYS WAVY DAGING SAPI BAKAR 45G"/>
    <x v="4"/>
    <n v="6810.81"/>
    <n v="19927.333333333303"/>
    <n v="22668"/>
    <n v="18154.666666666664"/>
    <n v="9936"/>
    <n v="168"/>
    <n v="2112"/>
    <n v="0"/>
    <n v="2736"/>
    <n v="24096"/>
    <n v="24"/>
    <n v="45"/>
    <n v="10104"/>
    <n v="16.696533490011753"/>
    <n v="37060"/>
    <n v="23472"/>
    <n v="37060"/>
    <n v="37056"/>
    <n v="44.993390129259701"/>
    <n v="252381375.36000001"/>
    <n v="135721281.13999981"/>
    <n v="154387441.08000001"/>
    <n v="123647985.27999999"/>
    <n v="18634376.16"/>
    <n v="68816424.24000001"/>
    <n v="6062"/>
    <n v="224633472"/>
    <n v="120799494.66666648"/>
    <n v="137413416"/>
    <n v="110053589.33333331"/>
    <n v="16585632"/>
    <n v="61250448"/>
    <x v="0"/>
    <n v="13584"/>
    <n v="0"/>
    <n v="0"/>
    <n v="0"/>
  </r>
  <r>
    <n v="1722"/>
    <x v="14"/>
    <s v="PF400043"/>
    <s v="CHEETOS JAGUNG BAKAR KEJU 18G"/>
    <x v="4"/>
    <n v="1301.8"/>
    <n v="265386.00000000029"/>
    <n v="0"/>
    <n v="190189.00000000003"/>
    <n v="8820"/>
    <n v="0"/>
    <n v="0"/>
    <n v="0"/>
    <n v="0"/>
    <n v="117566"/>
    <n v="1"/>
    <n v="45"/>
    <n v="8820"/>
    <n v="1.3912476536497902"/>
    <n v="276463.50000000006"/>
    <n v="117566"/>
    <n v="0"/>
    <n v="0"/>
    <n v="1.3912476536497902"/>
    <n v="0"/>
    <n v="345479494.80000037"/>
    <n v="0"/>
    <n v="247588040.20000002"/>
    <n v="0"/>
    <n v="11481876"/>
    <n v="1159"/>
    <n v="0"/>
    <n v="307582374.00000036"/>
    <n v="0"/>
    <n v="220429051.00000003"/>
    <n v="0"/>
    <n v="10222380"/>
    <x v="0"/>
    <n v="-117566"/>
    <n v="0"/>
    <n v="0"/>
    <n v="0"/>
  </r>
  <r>
    <n v="1723"/>
    <x v="14"/>
    <s v="PF400044"/>
    <s v="CHEETOS KEJU 18G"/>
    <x v="4"/>
    <n v="1301.8"/>
    <n v="127889.33333333336"/>
    <n v="0"/>
    <n v="57397.666666666672"/>
    <n v="0"/>
    <n v="0"/>
    <n v="0"/>
    <n v="0"/>
    <n v="0"/>
    <n v="44372"/>
    <n v="1"/>
    <n v="45"/>
    <n v="0"/>
    <n v="0"/>
    <n v="86096.5"/>
    <n v="44372"/>
    <n v="0"/>
    <n v="0"/>
    <n v="0"/>
    <n v="0"/>
    <n v="166486334.13333336"/>
    <n v="0"/>
    <n v="74720282.466666669"/>
    <n v="0"/>
    <n v="0"/>
    <n v="1159"/>
    <n v="0"/>
    <n v="148223737.33333337"/>
    <n v="0"/>
    <n v="66523895.666666672"/>
    <n v="0"/>
    <n v="0"/>
    <x v="0"/>
    <n v="-44372"/>
    <n v="0"/>
    <n v="0"/>
    <n v="0"/>
  </r>
  <r>
    <n v="1724"/>
    <x v="14"/>
    <s v="PF400045"/>
    <s v="LAYS RUMPUT LAUT 105G -FIFA"/>
    <x v="4"/>
    <n v="13281"/>
    <n v="50338.333333333263"/>
    <n v="0"/>
    <n v="5604.666666666667"/>
    <n v="275"/>
    <n v="0"/>
    <n v="0"/>
    <n v="0"/>
    <n v="0"/>
    <n v="4410"/>
    <n v="14"/>
    <n v="45"/>
    <n v="275"/>
    <n v="1.4719876293564886"/>
    <n v="8132"/>
    <n v="4410"/>
    <n v="0"/>
    <n v="0"/>
    <n v="1.4719876293564886"/>
    <n v="0"/>
    <n v="668543404.99999905"/>
    <n v="0"/>
    <n v="74435578"/>
    <n v="0"/>
    <n v="3652275"/>
    <n v="11820"/>
    <n v="0"/>
    <n v="594999099.99999917"/>
    <n v="0"/>
    <n v="66247160"/>
    <n v="0"/>
    <n v="3250500"/>
    <x v="0"/>
    <n v="-4410"/>
    <n v="0"/>
    <n v="0"/>
    <n v="0"/>
  </r>
  <r>
    <n v="1725"/>
    <x v="14"/>
    <s v="PF400046"/>
    <s v="LAYS WAVY DAGING SAPI BKR 105G-FIFA"/>
    <x v="4"/>
    <n v="13281"/>
    <n v="-155.99999999999994"/>
    <n v="0"/>
    <n v="-193.66666666666666"/>
    <n v="0"/>
    <n v="0"/>
    <n v="0"/>
    <n v="0"/>
    <n v="0"/>
    <n v="0"/>
    <n v="14"/>
    <n v="45"/>
    <n v="0"/>
    <n v="0"/>
    <n v="0"/>
    <n v="0"/>
    <n v="0"/>
    <n v="0"/>
    <n v="0"/>
    <n v="0"/>
    <n v="-2071835.9999999993"/>
    <n v="0"/>
    <n v="-2572087"/>
    <n v="0"/>
    <n v="0"/>
    <n v="11820"/>
    <n v="0"/>
    <n v="-1843919.9999999993"/>
    <n v="0"/>
    <n v="-2289140"/>
    <n v="0"/>
    <n v="0"/>
    <x v="0"/>
    <n v="0"/>
    <n v="0"/>
    <n v="0"/>
    <n v="0"/>
  </r>
  <r>
    <n v="1726"/>
    <x v="14"/>
    <s v="PF400047"/>
    <s v="LAYS RUMPUT LAUT 64G-FIFA"/>
    <x v="4"/>
    <n v="9487"/>
    <n v="150232.66666666704"/>
    <n v="0"/>
    <n v="55515.666666666672"/>
    <n v="2469"/>
    <n v="0"/>
    <n v="0"/>
    <n v="0"/>
    <n v="0"/>
    <n v="47168"/>
    <n v="22"/>
    <n v="45"/>
    <n v="2469"/>
    <n v="1.3342179685013837"/>
    <n v="80804.5"/>
    <n v="47168"/>
    <n v="0"/>
    <n v="0"/>
    <n v="1.3342179685013837"/>
    <n v="0"/>
    <n v="1425257308.6666701"/>
    <n v="0"/>
    <n v="526677129.66666669"/>
    <n v="0"/>
    <n v="23423403"/>
    <n v="8443"/>
    <n v="0"/>
    <n v="1268414404.6666698"/>
    <n v="0"/>
    <n v="468718773.66666669"/>
    <n v="0"/>
    <n v="20845767"/>
    <x v="0"/>
    <n v="-47168"/>
    <n v="0"/>
    <n v="0"/>
    <n v="0"/>
  </r>
  <r>
    <n v="1727"/>
    <x v="14"/>
    <s v="PF400048"/>
    <s v="LAYS WAVY DAGING SAPI BKR 64G-FIFA"/>
    <x v="4"/>
    <n v="9487"/>
    <n v="826.33333333333394"/>
    <n v="0"/>
    <n v="98.666666666666657"/>
    <n v="0"/>
    <n v="0"/>
    <n v="0"/>
    <n v="0"/>
    <n v="0"/>
    <n v="154"/>
    <n v="22"/>
    <n v="45"/>
    <n v="0"/>
    <n v="0"/>
    <n v="148"/>
    <n v="154"/>
    <n v="0"/>
    <n v="0"/>
    <n v="0"/>
    <n v="0"/>
    <n v="7839424.3333333395"/>
    <n v="0"/>
    <n v="936050.66666666663"/>
    <n v="0"/>
    <n v="0"/>
    <n v="8443"/>
    <n v="0"/>
    <n v="6976732.3333333386"/>
    <n v="0"/>
    <n v="833042.66666666663"/>
    <n v="0"/>
    <n v="0"/>
    <x v="0"/>
    <n v="-154"/>
    <n v="0"/>
    <n v="0"/>
    <n v="0"/>
  </r>
  <r>
    <n v="1728"/>
    <x v="14"/>
    <s v="PF400049"/>
    <s v="LAYS WAVY RMPT LAUT PEDAS 64G-FIFA"/>
    <x v="4"/>
    <n v="9487"/>
    <n v="4069.3333333333085"/>
    <n v="0"/>
    <n v="778"/>
    <n v="0"/>
    <n v="0"/>
    <n v="0"/>
    <n v="0"/>
    <n v="0"/>
    <n v="990"/>
    <n v="22"/>
    <n v="45"/>
    <n v="0"/>
    <n v="0"/>
    <n v="1167"/>
    <n v="990"/>
    <n v="0"/>
    <n v="0"/>
    <n v="0"/>
    <n v="0"/>
    <n v="38605765.333333097"/>
    <n v="0"/>
    <n v="7380886"/>
    <n v="0"/>
    <n v="0"/>
    <n v="8443"/>
    <n v="0"/>
    <n v="34357381.33333312"/>
    <n v="0"/>
    <n v="6568654"/>
    <n v="0"/>
    <n v="0"/>
    <x v="0"/>
    <n v="-990"/>
    <n v="0"/>
    <n v="0"/>
    <n v="0"/>
  </r>
  <r>
    <n v="1729"/>
    <x v="14"/>
    <s v="PF400050"/>
    <s v="LAYS WAVY RMPT LAUT PEDAS 105G-FIFA"/>
    <x v="4"/>
    <n v="13281.08"/>
    <n v="1156.0000000000009"/>
    <n v="0"/>
    <n v="194.33333333333334"/>
    <n v="0"/>
    <n v="0"/>
    <n v="0"/>
    <n v="0"/>
    <n v="0"/>
    <n v="308"/>
    <n v="14"/>
    <n v="45"/>
    <n v="0"/>
    <n v="0"/>
    <n v="291.5"/>
    <n v="308"/>
    <n v="0"/>
    <n v="0"/>
    <n v="0"/>
    <n v="0"/>
    <n v="15352928.480000012"/>
    <n v="0"/>
    <n v="2580956.5466666669"/>
    <n v="0"/>
    <n v="0"/>
    <n v="11820"/>
    <n v="0"/>
    <n v="13663920.000000011"/>
    <n v="0"/>
    <n v="2297020"/>
    <n v="0"/>
    <n v="0"/>
    <x v="0"/>
    <n v="-308"/>
    <n v="0"/>
    <n v="0"/>
    <n v="0"/>
  </r>
  <r>
    <n v="1730"/>
    <x v="14"/>
    <s v="PF400051"/>
    <s v="DORITOS NACHO CHEESE 120G"/>
    <x v="4"/>
    <n v="8432.4599999999991"/>
    <n v="71216.000000000073"/>
    <n v="49598"/>
    <n v="63813.000000000007"/>
    <n v="12264"/>
    <n v="0"/>
    <n v="840"/>
    <n v="0"/>
    <n v="1944"/>
    <n v="76848"/>
    <n v="24"/>
    <n v="45"/>
    <n v="12264"/>
    <n v="5.7655963518405331"/>
    <n v="131109.5"/>
    <n v="75744"/>
    <n v="131109.5"/>
    <n v="131112"/>
    <n v="45.001175309106294"/>
    <n v="1105596695.52"/>
    <n v="600526071.36000061"/>
    <n v="418233151.07999998"/>
    <n v="538100569.98000002"/>
    <n v="16392702.239999998"/>
    <n v="103415689.43999998"/>
    <n v="7505"/>
    <n v="983995560"/>
    <n v="534476080.00000054"/>
    <n v="372232990"/>
    <n v="478916565.00000006"/>
    <n v="14589720"/>
    <n v="92041320"/>
    <x v="0"/>
    <n v="55368"/>
    <n v="0"/>
    <n v="0"/>
    <n v="0"/>
  </r>
  <r>
    <n v="1731"/>
    <x v="14"/>
    <s v="PF400052"/>
    <s v="CHEETOS SWEETOS KEJU MANIS 120G"/>
    <x v="4"/>
    <n v="8854"/>
    <n v="97626.999999999898"/>
    <n v="3624"/>
    <n v="56057.666666666657"/>
    <n v="18282"/>
    <n v="140"/>
    <n v="2044"/>
    <n v="0"/>
    <n v="2128"/>
    <n v="27314"/>
    <n v="14"/>
    <n v="45"/>
    <n v="18422"/>
    <n v="9.8587763790858247"/>
    <n v="67160.499999999985"/>
    <n v="27230"/>
    <n v="67160.499999999985"/>
    <n v="67158"/>
    <n v="44.998662092012403"/>
    <n v="594616932"/>
    <n v="864389457.99999905"/>
    <n v="32086896"/>
    <n v="496334580.66666657"/>
    <n v="18841312"/>
    <n v="163108388"/>
    <n v="7880"/>
    <n v="529205040"/>
    <n v="769300759.99999917"/>
    <n v="28557120"/>
    <n v="441734413.33333325"/>
    <n v="16768640"/>
    <n v="145165360"/>
    <x v="0"/>
    <n v="39928"/>
    <n v="0"/>
    <n v="0"/>
    <n v="0"/>
  </r>
  <r>
    <n v="1732"/>
    <x v="15"/>
    <s v="PF500001"/>
    <s v="OTOKI JIN RAMEN MILD 120G BOX @20S"/>
    <x v="2"/>
    <n v="240000"/>
    <n v="609.64999999999975"/>
    <n v="527.69900000000007"/>
    <n v="526.19966666666653"/>
    <n v="530"/>
    <n v="37"/>
    <n v="39"/>
    <n v="0"/>
    <n v="0"/>
    <n v="436"/>
    <n v="1"/>
    <n v="30"/>
    <n v="567"/>
    <n v="32.326132222305986"/>
    <n v="486.89866666666649"/>
    <n v="475"/>
    <n v="300"/>
    <n v="300"/>
    <n v="19.344425024974679"/>
    <n v="72000000"/>
    <n v="146315999.99999994"/>
    <n v="126647760.00000001"/>
    <n v="126287919.99999997"/>
    <n v="0"/>
    <n v="136080000"/>
    <n v="211200"/>
    <n v="63360000"/>
    <n v="128758079.99999994"/>
    <n v="111450028.80000001"/>
    <n v="111133369.59999996"/>
    <n v="0"/>
    <n v="119750400"/>
    <x v="0"/>
    <n v="-175"/>
    <n v="0"/>
    <n v="0"/>
    <n v="0"/>
  </r>
  <r>
    <n v="1733"/>
    <x v="15"/>
    <s v="PF500002"/>
    <s v="OTOKI JIN RAMEN SPICY 120G BOX @20S"/>
    <x v="2"/>
    <n v="240000"/>
    <n v="816.15000000000407"/>
    <n v="600"/>
    <n v="681.16666666666629"/>
    <n v="482"/>
    <n v="19"/>
    <n v="156"/>
    <n v="0"/>
    <n v="0"/>
    <n v="596"/>
    <n v="1"/>
    <n v="30"/>
    <n v="501"/>
    <n v="22.065084413995606"/>
    <n v="780.16666666666629"/>
    <n v="752"/>
    <n v="400"/>
    <n v="400"/>
    <n v="13.256667482260834"/>
    <n v="96000000"/>
    <n v="195876000.00000098"/>
    <n v="144000000"/>
    <n v="163479999.99999991"/>
    <n v="0"/>
    <n v="120240000"/>
    <n v="211200"/>
    <n v="84480000"/>
    <n v="172370880.00000086"/>
    <n v="126720000"/>
    <n v="143862399.99999991"/>
    <n v="0"/>
    <n v="105811200"/>
    <x v="0"/>
    <n v="-352"/>
    <n v="0"/>
    <n v="0"/>
    <n v="0"/>
  </r>
  <r>
    <n v="1734"/>
    <x v="15"/>
    <s v="PF500003"/>
    <s v="OTOKI CHEESY RAMEN 110G BOX @20S"/>
    <x v="2"/>
    <n v="310000"/>
    <n v="609.60000000000491"/>
    <n v="419"/>
    <n v="515.29999999999995"/>
    <n v="590"/>
    <n v="25"/>
    <n v="0"/>
    <n v="0"/>
    <n v="0"/>
    <n v="343"/>
    <n v="1"/>
    <n v="30"/>
    <n v="615"/>
    <n v="35.804385794682716"/>
    <n v="319.29999999999995"/>
    <n v="343"/>
    <n v="300"/>
    <n v="300"/>
    <n v="28.876382689695326"/>
    <n v="93000000"/>
    <n v="188976000.00000152"/>
    <n v="129890000"/>
    <n v="159743000"/>
    <n v="0"/>
    <n v="190650000"/>
    <n v="272800"/>
    <n v="81840000"/>
    <n v="166298880.00000134"/>
    <n v="114303200"/>
    <n v="140573840"/>
    <n v="0"/>
    <n v="167772000"/>
    <x v="0"/>
    <n v="-43"/>
    <n v="0"/>
    <n v="0"/>
    <n v="0"/>
  </r>
  <r>
    <n v="1735"/>
    <x v="15"/>
    <s v="PF500004"/>
    <s v="OTOKI CHEESY RAMEN SPC 110G BOX@20S"/>
    <x v="2"/>
    <n v="310000"/>
    <n v="390.19999999999993"/>
    <n v="334.00400000000002"/>
    <n v="332.33466666666675"/>
    <n v="524"/>
    <n v="30"/>
    <n v="9"/>
    <n v="9"/>
    <n v="0"/>
    <n v="196"/>
    <n v="1"/>
    <n v="30"/>
    <n v="563"/>
    <n v="50.82226350145033"/>
    <n v="103.33866666666677"/>
    <n v="196"/>
    <n v="100"/>
    <n v="100"/>
    <n v="29.698617056701867"/>
    <n v="31000000"/>
    <n v="120961999.99999999"/>
    <n v="103541240"/>
    <n v="103023746.66666669"/>
    <n v="0"/>
    <n v="174530000"/>
    <n v="272800"/>
    <n v="27280000"/>
    <n v="106446559.99999999"/>
    <n v="91116291.200000003"/>
    <n v="90660897.066666692"/>
    <n v="0"/>
    <n v="153586400"/>
    <x v="0"/>
    <n v="-96"/>
    <n v="94"/>
    <n v="142"/>
    <n v="189"/>
  </r>
  <r>
    <n v="1736"/>
    <x v="15"/>
    <s v="PF500005"/>
    <s v="OTOKI SFRY C RAMEN SPY 120G BOX@20S"/>
    <x v="2"/>
    <n v="330000"/>
    <n v="540.3633333333305"/>
    <n v="490.09199999999998"/>
    <n v="503.86066666666665"/>
    <n v="452"/>
    <n v="46"/>
    <n v="78"/>
    <n v="0"/>
    <n v="0"/>
    <n v="423"/>
    <n v="1"/>
    <n v="30"/>
    <n v="498"/>
    <n v="29.651054325865221"/>
    <n v="495.95266666666657"/>
    <n v="501"/>
    <n v="420"/>
    <n v="420"/>
    <n v="25.477757739904288"/>
    <n v="138600000"/>
    <n v="178319899.99999908"/>
    <n v="161730360"/>
    <n v="166274020"/>
    <n v="0"/>
    <n v="164340000"/>
    <n v="290400"/>
    <n v="121968000"/>
    <n v="156921511.99999917"/>
    <n v="142322716.79999998"/>
    <n v="146321137.59999999"/>
    <n v="0"/>
    <n v="144619200"/>
    <x v="0"/>
    <n v="-81"/>
    <n v="0"/>
    <n v="0"/>
    <n v="0"/>
  </r>
  <r>
    <n v="1737"/>
    <x v="16"/>
    <s v="PF600001"/>
    <s v="67874NP BRIGHT FACIAL WASH 100G"/>
    <x v="3"/>
    <n v="32432.43"/>
    <n v="170737.00000000064"/>
    <n v="210869"/>
    <n v="183494.00000000003"/>
    <n v="269178"/>
    <n v="52800"/>
    <n v="15744"/>
    <n v="6912"/>
    <n v="864"/>
    <n v="48384"/>
    <n v="96"/>
    <n v="41"/>
    <n v="328890"/>
    <n v="53.771240476527836"/>
    <n v="131890.13333333342"/>
    <n v="56352"/>
    <n v="131890.13333333342"/>
    <n v="131904"/>
    <n v="41.002267104101492"/>
    <n v="4277967246.7200003"/>
    <n v="5537415800.9100208"/>
    <n v="6838994081.6700001"/>
    <n v="5951156310.420001"/>
    <n v="28021619.52"/>
    <n v="10666701902.700001"/>
    <n v="30486.49"/>
    <n v="4021289976.96"/>
    <n v="5205171843.1300201"/>
    <n v="6428655659.8100004"/>
    <n v="5594087996.0600014"/>
    <n v="26340327.360000003"/>
    <n v="10026701696.1"/>
    <x v="0"/>
    <n v="75552"/>
    <n v="17568"/>
    <n v="29280"/>
    <n v="41664"/>
  </r>
  <r>
    <n v="1738"/>
    <x v="16"/>
    <s v="PF600002"/>
    <s v="86999NP ACNE CARE FACIAL WASH 100G"/>
    <x v="3"/>
    <n v="32432.43"/>
    <n v="28278"/>
    <n v="34593"/>
    <n v="30937.666666666664"/>
    <n v="21789"/>
    <n v="9408"/>
    <n v="9312"/>
    <n v="2112"/>
    <n v="4032"/>
    <n v="23616"/>
    <n v="96"/>
    <n v="41"/>
    <n v="33309"/>
    <n v="32.299462359798738"/>
    <n v="39533.477777777778"/>
    <n v="26784"/>
    <n v="39533.477777777778"/>
    <n v="39552"/>
    <n v="41.017960846002183"/>
    <n v="1282767471.3599999"/>
    <n v="917124255.53999996"/>
    <n v="1121935050.99"/>
    <n v="1003383708.53"/>
    <n v="130767557.76000001"/>
    <n v="1080291810.8700001"/>
    <n v="30486.49"/>
    <n v="1205801652.48"/>
    <n v="862096964.22000003"/>
    <n v="1054619148.5700001"/>
    <n v="943180865.45666659"/>
    <n v="122921527.68000001"/>
    <n v="1015474495.4100001"/>
    <x v="0"/>
    <n v="12768"/>
    <n v="6816"/>
    <n v="12864"/>
    <n v="18912"/>
  </r>
  <r>
    <n v="1739"/>
    <x v="16"/>
    <s v="PF600003"/>
    <s v="29729NP DEEPCLEAN FACIAL WASH 100G"/>
    <x v="3"/>
    <n v="32432.43"/>
    <n v="114685.66666666718"/>
    <n v="144538"/>
    <n v="116351.33333333337"/>
    <n v="207540"/>
    <n v="10464"/>
    <n v="0"/>
    <n v="96"/>
    <n v="63840"/>
    <n v="49824"/>
    <n v="96"/>
    <n v="41"/>
    <n v="218100"/>
    <n v="56.234851914030472"/>
    <n v="21611.488888888969"/>
    <n v="0"/>
    <n v="21611.488888888969"/>
    <n v="21600"/>
    <n v="40.997037707632614"/>
    <n v="700540488"/>
    <n v="3719534856.1700168"/>
    <n v="4687718567.3400002"/>
    <n v="3773556473.7400012"/>
    <n v="2070486331.2"/>
    <n v="7073512983"/>
    <n v="30486.49"/>
    <n v="658508184"/>
    <n v="3496363429.9766827"/>
    <n v="4406456291.6199999"/>
    <n v="3547143760.1533346"/>
    <n v="1946257521.6000001"/>
    <n v="6649103469"/>
    <x v="0"/>
    <n v="21600"/>
    <n v="0"/>
    <n v="0"/>
    <n v="0"/>
  </r>
  <r>
    <n v="1740"/>
    <x v="16"/>
    <s v="PF600004"/>
    <s v="90043NP EXFOSCRB F WASH 100G"/>
    <x v="3"/>
    <n v="32432.43"/>
    <n v="624"/>
    <n v="985"/>
    <n v="680.33333333333326"/>
    <n v="1644"/>
    <n v="0"/>
    <n v="96"/>
    <n v="0"/>
    <n v="0"/>
    <n v="960"/>
    <n v="96"/>
    <n v="45"/>
    <n v="1644"/>
    <n v="72.493875551200404"/>
    <n v="361.5"/>
    <n v="1056"/>
    <n v="0"/>
    <n v="0"/>
    <n v="29.059284664380208"/>
    <n v="0"/>
    <n v="20237836.32"/>
    <n v="31945943.550000001"/>
    <n v="22064863.209999997"/>
    <n v="0"/>
    <n v="53318914.920000002"/>
    <n v="30486.49"/>
    <n v="0"/>
    <n v="19023569.760000002"/>
    <n v="30029192.650000002"/>
    <n v="20740975.363333333"/>
    <n v="0"/>
    <n v="50119789.560000002"/>
    <x v="0"/>
    <n v="-1056"/>
    <n v="0"/>
    <n v="0"/>
    <n v="0"/>
  </r>
  <r>
    <n v="1741"/>
    <x v="16"/>
    <s v="PF600005"/>
    <s v="90012NP ALL IN ONE GEL F WASH 100G"/>
    <x v="3"/>
    <n v="32432.43"/>
    <n v="0"/>
    <n v="0"/>
    <n v="0"/>
    <n v="888"/>
    <n v="0"/>
    <n v="0"/>
    <n v="1512"/>
    <n v="0"/>
    <n v="0"/>
    <n v="96"/>
    <n v="45"/>
    <n v="2400"/>
    <n v="9999"/>
    <n v="0"/>
    <n v="0"/>
    <n v="0"/>
    <n v="0"/>
    <n v="9999"/>
    <n v="0"/>
    <n v="0"/>
    <n v="0"/>
    <n v="0"/>
    <n v="0"/>
    <n v="77837832"/>
    <n v="30486.49"/>
    <n v="0"/>
    <n v="0"/>
    <n v="0"/>
    <n v="0"/>
    <n v="0"/>
    <n v="73167576"/>
    <x v="0"/>
    <n v="0"/>
    <n v="0"/>
    <n v="0"/>
    <n v="0"/>
  </r>
  <r>
    <n v="1742"/>
    <x v="16"/>
    <s v="PF600006"/>
    <s v="90067NP LOW PH 5.5 GEL F WASH 100G"/>
    <x v="3"/>
    <n v="32432.43"/>
    <n v="0"/>
    <n v="0"/>
    <n v="0"/>
    <n v="1296"/>
    <n v="0"/>
    <n v="0"/>
    <n v="1488"/>
    <n v="0"/>
    <n v="0"/>
    <n v="96"/>
    <n v="45"/>
    <n v="2784"/>
    <n v="9999"/>
    <n v="0"/>
    <n v="0"/>
    <n v="0"/>
    <n v="0"/>
    <n v="9999"/>
    <n v="0"/>
    <n v="0"/>
    <n v="0"/>
    <n v="0"/>
    <n v="0"/>
    <n v="90291885.120000005"/>
    <n v="30486.49"/>
    <n v="0"/>
    <n v="0"/>
    <n v="0"/>
    <n v="0"/>
    <n v="0"/>
    <n v="84874388.160000011"/>
    <x v="0"/>
    <n v="0"/>
    <n v="0"/>
    <n v="0"/>
    <n v="0"/>
  </r>
  <r>
    <n v="1743"/>
    <x v="17"/>
    <s v="PF800001"/>
    <s v="LAYS STAX ORIGINAL 70GR"/>
    <x v="4"/>
    <n v="15460"/>
    <n v="-8574.3333333332976"/>
    <n v="0"/>
    <n v="-4632.666666666667"/>
    <n v="0"/>
    <n v="0"/>
    <n v="0"/>
    <n v="0"/>
    <n v="0"/>
    <n v="0"/>
    <n v="24"/>
    <n v="45"/>
    <n v="0"/>
    <n v="0"/>
    <n v="0"/>
    <n v="0"/>
    <n v="0"/>
    <n v="0"/>
    <n v="0"/>
    <n v="0"/>
    <n v="-132559193.33333278"/>
    <n v="0"/>
    <n v="-71621026.666666672"/>
    <n v="0"/>
    <n v="0"/>
    <n v="13759"/>
    <n v="0"/>
    <n v="-117974252.33333284"/>
    <n v="0"/>
    <n v="-63740860.666666672"/>
    <n v="0"/>
    <n v="0"/>
    <x v="0"/>
    <n v="0"/>
    <n v="0"/>
    <n v="0"/>
    <n v="0"/>
  </r>
  <r>
    <n v="1744"/>
    <x v="17"/>
    <s v="PF800002"/>
    <s v="LAYS STAX SOURCREAM&amp;ONION 70GR"/>
    <x v="4"/>
    <n v="15460"/>
    <n v="-10431.999999999931"/>
    <n v="0"/>
    <n v="-6557.6666666666661"/>
    <n v="0"/>
    <n v="0"/>
    <n v="0"/>
    <n v="0"/>
    <n v="0"/>
    <n v="0"/>
    <n v="24"/>
    <n v="45"/>
    <n v="0"/>
    <n v="0"/>
    <n v="0"/>
    <n v="0"/>
    <n v="0"/>
    <n v="0"/>
    <n v="0"/>
    <n v="0"/>
    <n v="-161278719.99999893"/>
    <n v="0"/>
    <n v="-101381526.66666666"/>
    <n v="0"/>
    <n v="0"/>
    <n v="13759"/>
    <n v="0"/>
    <n v="-143533887.99999905"/>
    <n v="0"/>
    <n v="-90226935.666666657"/>
    <n v="0"/>
    <n v="0"/>
    <x v="0"/>
    <n v="0"/>
    <n v="0"/>
    <n v="0"/>
    <n v="0"/>
  </r>
  <r>
    <n v="1745"/>
    <x v="17"/>
    <s v="PF800003"/>
    <s v="LAYS STAX ORIGINAL 100G"/>
    <x v="4"/>
    <n v="18762"/>
    <n v="-10339.000000000056"/>
    <n v="0"/>
    <n v="-8306.9999999999982"/>
    <n v="0"/>
    <n v="0"/>
    <n v="0"/>
    <n v="0"/>
    <n v="0"/>
    <n v="0"/>
    <n v="100"/>
    <n v="45"/>
    <n v="0"/>
    <n v="0"/>
    <n v="0"/>
    <n v="0"/>
    <n v="0"/>
    <n v="0"/>
    <n v="0"/>
    <n v="0"/>
    <n v="-193980318.00000104"/>
    <n v="0"/>
    <n v="-155855933.99999997"/>
    <n v="0"/>
    <n v="0"/>
    <n v="16698"/>
    <n v="0"/>
    <n v="-172640622.00000095"/>
    <n v="0"/>
    <n v="-138710285.99999997"/>
    <n v="0"/>
    <n v="0"/>
    <x v="0"/>
    <n v="0"/>
    <n v="0"/>
    <n v="0"/>
    <n v="0"/>
  </r>
  <r>
    <n v="1746"/>
    <x v="17"/>
    <s v="PF800004"/>
    <s v="LAYS STAX SOURCREAM&amp;ONION 100G"/>
    <x v="4"/>
    <n v="18762"/>
    <n v="-103.66666666666669"/>
    <n v="0"/>
    <n v="-70.333333333333329"/>
    <n v="0"/>
    <n v="0"/>
    <n v="0"/>
    <n v="0"/>
    <n v="0"/>
    <n v="0"/>
    <n v="100"/>
    <n v="45"/>
    <n v="0"/>
    <n v="0"/>
    <n v="0"/>
    <n v="0"/>
    <n v="0"/>
    <n v="0"/>
    <n v="0"/>
    <n v="0"/>
    <n v="-1944994.0000000005"/>
    <n v="0"/>
    <n v="-1319594"/>
    <n v="0"/>
    <n v="0"/>
    <n v="16698"/>
    <n v="0"/>
    <n v="-1731026.0000000002"/>
    <n v="0"/>
    <n v="-1174426"/>
    <n v="0"/>
    <n v="0"/>
    <x v="0"/>
    <n v="0"/>
    <n v="0"/>
    <n v="0"/>
    <n v="0"/>
  </r>
  <r>
    <n v="1747"/>
    <x v="17"/>
    <s v="PF800005"/>
    <s v="CHEETOS PUFF CHEESE 60G"/>
    <x v="4"/>
    <n v="10892"/>
    <n v="66792.333333333663"/>
    <n v="0"/>
    <n v="51074"/>
    <n v="0"/>
    <n v="0"/>
    <n v="7464"/>
    <n v="0"/>
    <n v="12264"/>
    <n v="26520"/>
    <n v="24"/>
    <n v="45"/>
    <n v="0"/>
    <n v="0"/>
    <n v="64347"/>
    <n v="21720"/>
    <n v="0"/>
    <n v="0"/>
    <n v="7.2036652700003918"/>
    <n v="0"/>
    <n v="727502094.6666702"/>
    <n v="0"/>
    <n v="556298008"/>
    <n v="133579488"/>
    <n v="0"/>
    <n v="9694"/>
    <n v="0"/>
    <n v="647484879.33333647"/>
    <n v="0"/>
    <n v="495111356"/>
    <n v="118887216"/>
    <n v="0"/>
    <x v="0"/>
    <n v="-2172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A3:F22" firstHeaderRow="1" firstDataRow="2" firstDataCol="1"/>
  <pivotFields count="42">
    <pivotField showAll="0"/>
    <pivotField axis="axisRow" showAll="0">
      <items count="19">
        <item h="1" x="0"/>
        <item x="8"/>
        <item x="7"/>
        <item x="4"/>
        <item x="6"/>
        <item x="2"/>
        <item x="10"/>
        <item x="9"/>
        <item x="1"/>
        <item x="13"/>
        <item x="12"/>
        <item x="14"/>
        <item x="16"/>
        <item x="15"/>
        <item x="17"/>
        <item x="3"/>
        <item x="11"/>
        <item x="5"/>
        <item t="default"/>
      </items>
    </pivotField>
    <pivotField showAll="0"/>
    <pivotField showAll="0"/>
    <pivotField axis="axisCol"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9" showAll="0"/>
    <pivotField showAll="0"/>
    <pivotField showAll="0"/>
    <pivotField showAll="0"/>
    <pivotField showAll="0"/>
    <pivotField showAll="0"/>
    <pivotField showAll="0"/>
    <pivotField numFmtId="179" showAll="0"/>
    <pivotField numFmtId="179" showAll="0"/>
    <pivotField showAll="0"/>
    <pivotField dataField="1" numFmtId="41" showAll="0"/>
    <pivotField showAll="0"/>
    <pivotField showAll="0"/>
    <pivotField showAll="0"/>
    <pivotField showAll="0"/>
    <pivotField showAll="0"/>
    <pivotField numFmtId="17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4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Purch Plan by kelipatan2" fld="24" baseField="0" baseItem="0"/>
  </dataFields>
  <formats count="47">
    <format dxfId="0">
      <pivotArea field="1" type="button" dataOnly="0" labelOnly="1" outline="0" fieldPosition="0"/>
    </format>
    <format dxfId="1">
      <pivotArea dataOnly="0" labelOnly="1" fieldPosition="0">
        <references count="1">
          <reference field="4" count="0"/>
        </references>
      </pivotArea>
    </format>
    <format dxfId="2">
      <pivotArea dataOnly="0" labelOnly="1" grandCol="1" outline="0" fieldPosition="0"/>
    </format>
    <format dxfId="3">
      <pivotArea collapsedLevelsAreSubtotals="1" fieldPosition="0">
        <references count="2">
          <reference field="1" count="1">
            <x v="1"/>
          </reference>
          <reference field="4" count="4" selected="0">
            <x v="1"/>
            <x v="2"/>
            <x v="3"/>
            <x v="4"/>
          </reference>
        </references>
      </pivotArea>
    </format>
    <format dxfId="4">
      <pivotArea grandCol="1" collapsedLevelsAreSubtotals="1" fieldPosition="0">
        <references count="1">
          <reference field="1" count="1">
            <x v="1"/>
          </reference>
        </references>
      </pivotArea>
    </format>
    <format dxfId="5">
      <pivotArea collapsedLevelsAreSubtotals="1" fieldPosition="0">
        <references count="2">
          <reference field="1" count="1">
            <x v="2"/>
          </reference>
          <reference field="4" count="4" selected="0">
            <x v="1"/>
            <x v="2"/>
            <x v="3"/>
            <x v="4"/>
          </reference>
        </references>
      </pivotArea>
    </format>
    <format dxfId="6">
      <pivotArea grandCol="1" collapsedLevelsAreSubtotals="1" fieldPosition="0">
        <references count="1">
          <reference field="1" count="1">
            <x v="2"/>
          </reference>
        </references>
      </pivotArea>
    </format>
    <format dxfId="7">
      <pivotArea collapsedLevelsAreSubtotals="1" fieldPosition="0">
        <references count="2">
          <reference field="1" count="1">
            <x v="5"/>
          </reference>
          <reference field="4" count="4" selected="0">
            <x v="1"/>
            <x v="2"/>
            <x v="3"/>
            <x v="4"/>
          </reference>
        </references>
      </pivotArea>
    </format>
    <format dxfId="8">
      <pivotArea grandCol="1" collapsedLevelsAreSubtotals="1" fieldPosition="0">
        <references count="1">
          <reference field="1" count="1">
            <x v="5"/>
          </reference>
        </references>
      </pivotArea>
    </format>
    <format dxfId="9">
      <pivotArea collapsedLevelsAreSubtotals="1" fieldPosition="0">
        <references count="2">
          <reference field="1" count="1">
            <x v="6"/>
          </reference>
          <reference field="4" count="4" selected="0">
            <x v="1"/>
            <x v="2"/>
            <x v="3"/>
            <x v="4"/>
          </reference>
        </references>
      </pivotArea>
    </format>
    <format dxfId="10">
      <pivotArea grandCol="1" collapsedLevelsAreSubtotals="1" fieldPosition="0">
        <references count="1">
          <reference field="1" count="1">
            <x v="6"/>
          </reference>
        </references>
      </pivotArea>
    </format>
    <format dxfId="11">
      <pivotArea collapsedLevelsAreSubtotals="1" fieldPosition="0">
        <references count="2">
          <reference field="1" count="1">
            <x v="7"/>
          </reference>
          <reference field="4" count="4" selected="0">
            <x v="1"/>
            <x v="2"/>
            <x v="3"/>
            <x v="4"/>
          </reference>
        </references>
      </pivotArea>
    </format>
    <format dxfId="12">
      <pivotArea grandCol="1" collapsedLevelsAreSubtotals="1" fieldPosition="0">
        <references count="1">
          <reference field="1" count="1">
            <x v="7"/>
          </reference>
        </references>
      </pivotArea>
    </format>
    <format dxfId="13">
      <pivotArea collapsedLevelsAreSubtotals="1" fieldPosition="0">
        <references count="2">
          <reference field="1" count="1">
            <x v="10"/>
          </reference>
          <reference field="4" count="4" selected="0">
            <x v="1"/>
            <x v="2"/>
            <x v="3"/>
            <x v="4"/>
          </reference>
        </references>
      </pivotArea>
    </format>
    <format dxfId="14">
      <pivotArea grandCol="1" collapsedLevelsAreSubtotals="1" fieldPosition="0">
        <references count="1">
          <reference field="1" count="1">
            <x v="10"/>
          </reference>
        </references>
      </pivotArea>
    </format>
    <format dxfId="15">
      <pivotArea collapsedLevelsAreSubtotals="1" fieldPosition="0">
        <references count="2">
          <reference field="1" count="1">
            <x v="14"/>
          </reference>
          <reference field="4" count="4" selected="0">
            <x v="1"/>
            <x v="2"/>
            <x v="3"/>
            <x v="4"/>
          </reference>
        </references>
      </pivotArea>
    </format>
    <format dxfId="16">
      <pivotArea grandCol="1" collapsedLevelsAreSubtotals="1" fieldPosition="0">
        <references count="1">
          <reference field="1" count="1">
            <x v="14"/>
          </reference>
        </references>
      </pivotArea>
    </format>
    <format dxfId="17">
      <pivotArea collapsedLevelsAreSubtotals="1" fieldPosition="0">
        <references count="2">
          <reference field="1" count="1">
            <x v="13"/>
          </reference>
          <reference field="4" count="4" selected="0">
            <x v="1"/>
            <x v="2"/>
            <x v="3"/>
            <x v="4"/>
          </reference>
        </references>
      </pivotArea>
    </format>
    <format dxfId="18">
      <pivotArea grandCol="1" collapsedLevelsAreSubtotals="1" fieldPosition="0">
        <references count="1">
          <reference field="1" count="1">
            <x v="13"/>
          </reference>
        </references>
      </pivotArea>
    </format>
    <format dxfId="19">
      <pivotArea dataOnly="0" labelOnly="1" fieldPosition="0">
        <references count="1">
          <reference field="4" count="0"/>
        </references>
      </pivotArea>
    </format>
    <format dxfId="20">
      <pivotArea dataOnly="0" labelOnly="1" grandCol="1" outline="0" fieldPosition="0"/>
    </format>
    <format dxfId="21">
      <pivotArea outline="0" collapsedLevelsAreSubtotals="1" fieldPosition="0">
        <references count="1">
          <reference field="4" count="4" selected="0">
            <x v="1"/>
            <x v="2"/>
            <x v="3"/>
            <x v="4"/>
          </reference>
        </references>
      </pivotArea>
    </format>
    <format dxfId="22">
      <pivotArea grandCol="1" outline="0" collapsedLevelsAreSubtotals="1" fieldPosition="0"/>
    </format>
    <format dxfId="23">
      <pivotArea type="topRight" dataOnly="0" labelOnly="1" outline="0" fieldPosition="0"/>
    </format>
    <format dxfId="24">
      <pivotArea dataOnly="0" labelOnly="1" fieldPosition="0">
        <references count="1">
          <reference field="4" count="4">
            <x v="1"/>
            <x v="2"/>
            <x v="3"/>
            <x v="4"/>
          </reference>
        </references>
      </pivotArea>
    </format>
    <format dxfId="25">
      <pivotArea dataOnly="0" labelOnly="1" grandCol="1" outline="0" fieldPosition="0"/>
    </format>
    <format dxfId="26">
      <pivotArea outline="0" collapsedLevelsAreSubtotals="1" fieldPosition="0"/>
    </format>
    <format dxfId="27">
      <pivotArea field="1" type="button" dataOnly="0" labelOnly="1" outline="0" fieldPosition="0"/>
    </format>
    <format dxfId="28">
      <pivotArea dataOnly="0" labelOnly="1" grandRow="1" outline="0" fieldPosition="0"/>
    </format>
    <format dxfId="29">
      <pivotArea dataOnly="0" labelOnly="1" fieldPosition="0">
        <references count="1">
          <reference field="4" count="4">
            <x v="1"/>
            <x v="2"/>
            <x v="3"/>
            <x v="4"/>
          </reference>
        </references>
      </pivotArea>
    </format>
    <format dxfId="30">
      <pivotArea dataOnly="0" labelOnly="1" grandCol="1" outline="0" fieldPosition="0"/>
    </format>
    <format dxfId="31">
      <pivotArea grandRow="1" outline="0" collapsedLevelsAreSubtotals="1" fieldPosition="0"/>
    </format>
    <format dxfId="32">
      <pivotArea dataOnly="0" labelOnly="1" grandRow="1" outline="0" fieldPosition="0"/>
    </format>
    <format dxfId="33">
      <pivotArea collapsedLevelsAreSubtotals="1" fieldPosition="0">
        <references count="1">
          <reference field="1" count="1">
            <x v="3"/>
          </reference>
        </references>
      </pivotArea>
    </format>
    <format dxfId="34">
      <pivotArea collapsedLevelsAreSubtotals="1" fieldPosition="0">
        <references count="1">
          <reference field="1" count="1">
            <x v="9"/>
          </reference>
        </references>
      </pivotArea>
    </format>
    <format dxfId="35">
      <pivotArea collapsedLevelsAreSubtotals="1" fieldPosition="0">
        <references count="1">
          <reference field="1" count="0"/>
        </references>
      </pivotArea>
    </format>
    <format dxfId="36">
      <pivotArea dataOnly="0" labelOnly="1" fieldPosition="0">
        <references count="1">
          <reference field="1" count="0"/>
        </references>
      </pivotArea>
    </format>
    <format dxfId="37">
      <pivotArea grandRow="1" outline="0" collapsedLevelsAreSubtotals="1" fieldPosition="0"/>
    </format>
    <format dxfId="38">
      <pivotArea dataOnly="0" labelOnly="1" grandRow="1" outline="0" fieldPosition="0"/>
    </format>
    <format dxfId="39">
      <pivotArea collapsedLevelsAreSubtotals="1" fieldPosition="0">
        <references count="1">
          <reference field="1" count="1">
            <x v="15"/>
          </reference>
        </references>
      </pivotArea>
    </format>
    <format dxfId="40">
      <pivotArea collapsedLevelsAreSubtotals="1" fieldPosition="0">
        <references count="1">
          <reference field="1" count="1">
            <x v="8"/>
          </reference>
        </references>
      </pivotArea>
    </format>
    <format dxfId="41">
      <pivotArea collapsedLevelsAreSubtotals="1" fieldPosition="0">
        <references count="1">
          <reference field="1" count="1">
            <x v="8"/>
          </reference>
        </references>
      </pivotArea>
    </format>
    <format dxfId="42">
      <pivotArea collapsedLevelsAreSubtotals="1" fieldPosition="0">
        <references count="1">
          <reference field="1" count="1">
            <x v="4"/>
          </reference>
        </references>
      </pivotArea>
    </format>
    <format dxfId="43">
      <pivotArea collapsedLevelsAreSubtotals="1" fieldPosition="0">
        <references count="1">
          <reference field="1" count="1">
            <x v="16"/>
          </reference>
        </references>
      </pivotArea>
    </format>
    <format dxfId="44">
      <pivotArea collapsedLevelsAreSubtotals="1" fieldPosition="0">
        <references count="1">
          <reference field="1" count="1">
            <x v="12"/>
          </reference>
        </references>
      </pivotArea>
    </format>
    <format dxfId="45">
      <pivotArea collapsedLevelsAreSubtotals="1" fieldPosition="0">
        <references count="1">
          <reference field="1" count="1">
            <x v="11"/>
          </reference>
        </references>
      </pivotArea>
    </format>
    <format dxfId="46">
      <pivotArea collapsedLevelsAreSubtotals="1" fieldPosition="0">
        <references count="1">
          <reference field="1" count="1">
            <x v="17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4" minRefreshableVersion="3" createdVersion="4" useAutoFormatting="1" indent="0" outline="1" outlineData="1" showDrill="1" multipleFieldFilters="0">
  <location ref="A3:F13" firstHeaderRow="0" firstDataRow="1" firstDataCol="1" rowPageCount="1" colPageCount="1"/>
  <pivotFields count="42">
    <pivotField showAll="0"/>
    <pivotField axis="axisPage" multipleItemSelectionAllowed="1" showAll="0">
      <items count="19">
        <item h="1" x="0"/>
        <item h="1" x="8"/>
        <item h="1" x="7"/>
        <item h="1" x="4"/>
        <item h="1" x="6"/>
        <item h="1" x="2"/>
        <item h="1" x="10"/>
        <item h="1" x="9"/>
        <item h="1" x="1"/>
        <item h="1" x="13"/>
        <item h="1" x="12"/>
        <item h="1" x="14"/>
        <item h="1" x="16"/>
        <item h="1" x="15"/>
        <item h="1" x="17"/>
        <item h="1" x="3"/>
        <item h="1" x="11"/>
        <item x="5"/>
        <item t="default"/>
      </items>
    </pivotField>
    <pivotField showAll="0"/>
    <pivotField showAll="0"/>
    <pivotField showAll="0">
      <items count="6">
        <item x="0"/>
        <item x="3"/>
        <item x="2"/>
        <item x="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9" showAll="0"/>
    <pivotField showAll="0"/>
    <pivotField showAll="0"/>
    <pivotField showAll="0"/>
    <pivotField showAll="0"/>
    <pivotField showAll="0"/>
    <pivotField showAll="0"/>
    <pivotField numFmtId="179" showAll="0"/>
    <pivotField numFmtId="179" showAll="0"/>
    <pivotField showAll="0"/>
    <pivotField dataField="1" numFmtId="41" showAll="0"/>
    <pivotField showAll="0"/>
    <pivotField dataField="1" showAll="0"/>
    <pivotField dataField="1" showAll="0"/>
    <pivotField dataField="1" showAll="0"/>
    <pivotField dataField="1" showAll="0"/>
    <pivotField numFmtId="179"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</pivotFields>
  <rowFields count="1">
    <field x="37"/>
  </rowFields>
  <rowItems count="10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/>
  </pageFields>
  <dataFields count="5">
    <dataField name="Sum of Total Stok Nasional2" fld="29" baseField="4" baseItem="0"/>
    <dataField name="Sum of  AMS(2A+1F)2" fld="27" baseField="37" baseItem="3"/>
    <dataField name="Sum of  FORECAST FINAL2" fld="26" baseField="4" baseItem="0"/>
    <dataField name="Sum of  PO OUTSTANDING PRINCIPAL2" fld="28" baseField="4" baseItem="0"/>
    <dataField name="Sum of Purch Plan by kelipatan2" fld="24" baseField="0" baseItem="0"/>
  </dataFields>
  <formats count="13">
    <format dxfId="47">
      <pivotArea field="4" type="button" dataOnly="0" labelOnly="1" outline="0" fieldPosition="0"/>
    </format>
    <format dxfId="48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49">
      <pivotArea field="37" type="button" dataOnly="0" labelOnly="1" outline="0" fieldPosition="0"/>
    </format>
    <format dxfId="50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51">
      <pivotArea field="37" type="button" dataOnly="0" labelOnly="1" outline="0" fieldPosition="0"/>
    </format>
    <format dxfId="52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53">
      <pivotArea field="37" type="button" dataOnly="0" labelOnly="1" outline="0" fieldPosition="0"/>
    </format>
    <format dxfId="54">
      <pivotArea dataOnly="0" labelOnly="1" outline="0" fieldPosition="0">
        <references count="1">
          <reference field="4294967294" count="4">
            <x v="0"/>
            <x v="2"/>
            <x v="3"/>
            <x v="4"/>
          </reference>
        </references>
      </pivotArea>
    </format>
    <format dxfId="55">
      <pivotArea type="all" dataOnly="0" outline="0" fieldPosition="0"/>
    </format>
    <format dxfId="5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23"/>
  <sheetViews>
    <sheetView workbookViewId="0">
      <selection activeCell="E17" sqref="E17"/>
    </sheetView>
  </sheetViews>
  <sheetFormatPr defaultColWidth="9" defaultRowHeight="15" outlineLevelCol="6"/>
  <cols>
    <col min="1" max="1" width="43.1428571428571" customWidth="1"/>
    <col min="2" max="2" width="16.2857142857143" customWidth="1"/>
    <col min="3" max="3" width="15.2857142857143" style="62" customWidth="1"/>
    <col min="4" max="4" width="16" style="62" customWidth="1"/>
    <col min="5" max="5" width="12.5714285714286" style="62" customWidth="1"/>
    <col min="6" max="6" width="16.2857142857143" style="62" customWidth="1"/>
    <col min="7" max="7" width="30.5714285714286" style="62" customWidth="1"/>
  </cols>
  <sheetData>
    <row r="3" ht="15.75" spans="1:7">
      <c r="A3" s="63" t="s">
        <v>0</v>
      </c>
      <c r="B3" s="63" t="s">
        <v>1</v>
      </c>
      <c r="C3" s="64"/>
      <c r="D3" s="64"/>
      <c r="E3" s="64"/>
      <c r="F3" s="65"/>
      <c r="G3"/>
    </row>
    <row r="4" ht="15.75" spans="1:7">
      <c r="A4" s="66" t="s">
        <v>2</v>
      </c>
      <c r="B4" s="67" t="s">
        <v>3</v>
      </c>
      <c r="C4" s="68" t="s">
        <v>4</v>
      </c>
      <c r="D4" s="68" t="s">
        <v>5</v>
      </c>
      <c r="E4" s="69" t="s">
        <v>6</v>
      </c>
      <c r="F4" s="70" t="s">
        <v>7</v>
      </c>
      <c r="G4"/>
    </row>
    <row r="5" spans="1:7">
      <c r="A5" s="57" t="s">
        <v>8</v>
      </c>
      <c r="B5" s="71">
        <v>60929724</v>
      </c>
      <c r="C5" s="71">
        <v>0</v>
      </c>
      <c r="D5" s="71">
        <v>0</v>
      </c>
      <c r="E5" s="71">
        <v>0</v>
      </c>
      <c r="F5" s="71">
        <v>60929724</v>
      </c>
      <c r="G5"/>
    </row>
    <row r="6" spans="1:7">
      <c r="A6" s="57" t="s">
        <v>9</v>
      </c>
      <c r="B6" s="71">
        <v>2202537110.4</v>
      </c>
      <c r="C6" s="71">
        <v>1222303953.6</v>
      </c>
      <c r="D6" s="71">
        <v>385803252</v>
      </c>
      <c r="E6" s="71">
        <v>150362154</v>
      </c>
      <c r="F6" s="71">
        <v>3961006470</v>
      </c>
      <c r="G6"/>
    </row>
    <row r="7" spans="1:7">
      <c r="A7" s="57" t="s">
        <v>10</v>
      </c>
      <c r="B7" s="72">
        <v>3625822800</v>
      </c>
      <c r="C7" s="72">
        <v>117872000</v>
      </c>
      <c r="D7" s="72">
        <v>0</v>
      </c>
      <c r="E7" s="72"/>
      <c r="F7" s="72">
        <v>3743694800</v>
      </c>
      <c r="G7"/>
    </row>
    <row r="8" spans="1:7">
      <c r="A8" s="57" t="s">
        <v>11</v>
      </c>
      <c r="B8" s="73">
        <v>28269341600</v>
      </c>
      <c r="C8" s="73">
        <v>1792624600</v>
      </c>
      <c r="D8" s="73">
        <v>0</v>
      </c>
      <c r="E8" s="73">
        <v>0</v>
      </c>
      <c r="F8" s="73">
        <v>30061966200</v>
      </c>
      <c r="G8"/>
    </row>
    <row r="9" spans="1:7">
      <c r="A9" s="57" t="s">
        <v>12</v>
      </c>
      <c r="B9" s="71">
        <v>5075709082</v>
      </c>
      <c r="C9" s="71">
        <v>735545400</v>
      </c>
      <c r="D9" s="71">
        <v>172204260</v>
      </c>
      <c r="E9" s="71">
        <v>244613088</v>
      </c>
      <c r="F9" s="71">
        <v>6228071830</v>
      </c>
      <c r="G9"/>
    </row>
    <row r="10" spans="1:7">
      <c r="A10" s="57" t="s">
        <v>13</v>
      </c>
      <c r="B10" s="71">
        <v>0</v>
      </c>
      <c r="C10" s="71">
        <v>0</v>
      </c>
      <c r="D10" s="71">
        <v>0</v>
      </c>
      <c r="E10" s="71">
        <v>0</v>
      </c>
      <c r="F10" s="71">
        <v>0</v>
      </c>
      <c r="G10"/>
    </row>
    <row r="11" spans="1:7">
      <c r="A11" s="57" t="s">
        <v>14</v>
      </c>
      <c r="B11" s="71">
        <v>8718300</v>
      </c>
      <c r="C11" s="71">
        <v>0</v>
      </c>
      <c r="D11" s="71"/>
      <c r="E11" s="71">
        <v>0</v>
      </c>
      <c r="F11" s="71">
        <v>8718300</v>
      </c>
      <c r="G11"/>
    </row>
    <row r="12" spans="1:7">
      <c r="A12" s="57" t="s">
        <v>15</v>
      </c>
      <c r="B12" s="73">
        <v>2803896000</v>
      </c>
      <c r="C12" s="73">
        <v>942000000</v>
      </c>
      <c r="D12" s="73"/>
      <c r="E12" s="73">
        <v>179472000</v>
      </c>
      <c r="F12" s="73">
        <v>3925368000</v>
      </c>
      <c r="G12"/>
    </row>
    <row r="13" spans="1:7">
      <c r="A13" s="57" t="s">
        <v>16</v>
      </c>
      <c r="B13" s="72">
        <v>1453735980</v>
      </c>
      <c r="C13" s="72">
        <v>48375288</v>
      </c>
      <c r="D13" s="72"/>
      <c r="E13" s="72"/>
      <c r="F13" s="72">
        <v>1502111268</v>
      </c>
      <c r="G13"/>
    </row>
    <row r="14" spans="1:7">
      <c r="A14" s="57" t="s">
        <v>17</v>
      </c>
      <c r="B14" s="71">
        <v>0</v>
      </c>
      <c r="C14" s="71">
        <v>0</v>
      </c>
      <c r="D14" s="71"/>
      <c r="E14" s="71">
        <v>0</v>
      </c>
      <c r="F14" s="71">
        <v>0</v>
      </c>
      <c r="G14"/>
    </row>
    <row r="15" spans="1:7">
      <c r="A15" s="57" t="s">
        <v>18</v>
      </c>
      <c r="B15" s="71"/>
      <c r="C15" s="71"/>
      <c r="D15" s="71">
        <v>18472979051.04</v>
      </c>
      <c r="E15" s="71"/>
      <c r="F15" s="71">
        <v>18472979051.04</v>
      </c>
      <c r="G15" s="74" t="s">
        <v>19</v>
      </c>
    </row>
    <row r="16" spans="1:7">
      <c r="A16" s="57" t="s">
        <v>20</v>
      </c>
      <c r="B16" s="71">
        <v>6261275206.08</v>
      </c>
      <c r="C16" s="71"/>
      <c r="D16" s="71"/>
      <c r="E16" s="71"/>
      <c r="F16" s="71">
        <v>6261275206.08</v>
      </c>
      <c r="G16"/>
    </row>
    <row r="17" spans="1:7">
      <c r="A17" s="57" t="s">
        <v>21</v>
      </c>
      <c r="B17" s="71"/>
      <c r="C17" s="71">
        <v>430600000</v>
      </c>
      <c r="D17" s="71"/>
      <c r="E17" s="71"/>
      <c r="F17" s="71">
        <v>430600000</v>
      </c>
      <c r="G17"/>
    </row>
    <row r="18" spans="1:7">
      <c r="A18" s="57" t="s">
        <v>22</v>
      </c>
      <c r="B18" s="71"/>
      <c r="C18" s="71"/>
      <c r="D18" s="71">
        <v>0</v>
      </c>
      <c r="E18" s="71"/>
      <c r="F18" s="71">
        <v>0</v>
      </c>
      <c r="G18"/>
    </row>
    <row r="19" spans="1:7">
      <c r="A19" s="57" t="s">
        <v>23</v>
      </c>
      <c r="B19" s="72">
        <v>12497184540</v>
      </c>
      <c r="C19" s="72">
        <v>6983909730</v>
      </c>
      <c r="D19" s="72">
        <v>99662400</v>
      </c>
      <c r="E19" s="72">
        <v>0</v>
      </c>
      <c r="F19" s="72">
        <v>19580756670</v>
      </c>
      <c r="G19"/>
    </row>
    <row r="20" spans="1:7">
      <c r="A20" s="57" t="s">
        <v>24</v>
      </c>
      <c r="B20" s="71">
        <v>1584240620.16</v>
      </c>
      <c r="C20" s="71">
        <v>1163095416</v>
      </c>
      <c r="D20" s="71">
        <v>108971520</v>
      </c>
      <c r="E20" s="71">
        <v>0</v>
      </c>
      <c r="F20" s="71">
        <v>2856307556.16</v>
      </c>
      <c r="G20" s="74" t="s">
        <v>25</v>
      </c>
    </row>
    <row r="21" ht="15.75" spans="1:7">
      <c r="A21" s="57" t="s">
        <v>26</v>
      </c>
      <c r="B21" s="71">
        <v>118020069744</v>
      </c>
      <c r="C21" s="71">
        <v>2927505156</v>
      </c>
      <c r="D21" s="71">
        <v>30348542256</v>
      </c>
      <c r="E21" s="71"/>
      <c r="F21" s="71">
        <v>151296117156</v>
      </c>
      <c r="G21"/>
    </row>
    <row r="22" s="61" customFormat="1" spans="1:7">
      <c r="A22" s="75" t="s">
        <v>7</v>
      </c>
      <c r="B22" s="76">
        <v>181863460706.64</v>
      </c>
      <c r="C22" s="76">
        <v>16363831543.6</v>
      </c>
      <c r="D22" s="76">
        <v>49588162739.04</v>
      </c>
      <c r="E22" s="76">
        <v>574447242</v>
      </c>
      <c r="F22" s="76">
        <v>248389902231.28</v>
      </c>
    </row>
    <row r="23" spans="1:7">
      <c r="C23"/>
      <c r="D23"/>
      <c r="E23"/>
      <c r="F23"/>
      <c r="G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I19" sqref="I19"/>
    </sheetView>
  </sheetViews>
  <sheetFormatPr defaultColWidth="9" defaultRowHeight="15"/>
  <cols>
    <col min="1" max="1" width="19.4285714285714" customWidth="1"/>
    <col min="2" max="2" width="16.4285714285714" style="50" customWidth="1"/>
    <col min="3" max="3" width="12.8571428571429" style="50" customWidth="1"/>
    <col min="4" max="4" width="12" style="50" customWidth="1"/>
    <col min="5" max="5" width="11.4285714285714" style="50" customWidth="1"/>
    <col min="6" max="6" width="17" style="50" customWidth="1"/>
    <col min="7" max="7" width="22.1428571428571" style="50" customWidth="1"/>
    <col min="8" max="13" width="16.2857142857143" style="50" customWidth="1"/>
    <col min="14" max="14" width="15.2857142857143" customWidth="1"/>
    <col min="15" max="15" width="35.5714285714286" customWidth="1"/>
    <col min="16" max="16" width="31" customWidth="1"/>
    <col min="17" max="17" width="18.1428571428571" customWidth="1"/>
    <col min="18" max="18" width="29" customWidth="1"/>
    <col min="19" max="19" width="40.5714285714286" customWidth="1"/>
    <col min="20" max="20" width="34.8571428571429" customWidth="1"/>
    <col min="21" max="25" width="35.5714285714286" customWidth="1"/>
    <col min="26" max="26" width="31" customWidth="1"/>
    <col min="27" max="27" width="18.1428571428571" customWidth="1"/>
    <col min="28" max="28" width="29" customWidth="1"/>
    <col min="29" max="29" width="40.5714285714286" customWidth="1"/>
    <col min="30" max="30" width="34.8571428571429" customWidth="1"/>
  </cols>
  <sheetData>
    <row r="1" spans="1:14">
      <c r="A1" s="51" t="s">
        <v>27</v>
      </c>
      <c r="B1" s="51" t="s">
        <v>26</v>
      </c>
    </row>
    <row r="2" spans="1:14">
      <c r="H2" s="52" t="s">
        <v>28</v>
      </c>
      <c r="I2" s="52"/>
      <c r="J2" s="52"/>
      <c r="K2" s="52"/>
      <c r="L2" s="52"/>
      <c r="M2" s="52"/>
    </row>
    <row r="3" s="49" customFormat="1" ht="60" spans="1:14">
      <c r="A3" s="53" t="s">
        <v>2</v>
      </c>
      <c r="B3" s="54" t="s">
        <v>29</v>
      </c>
      <c r="C3" s="54" t="s">
        <v>30</v>
      </c>
      <c r="D3" s="54" t="s">
        <v>31</v>
      </c>
      <c r="E3" s="54" t="s">
        <v>32</v>
      </c>
      <c r="F3" s="54" t="s">
        <v>0</v>
      </c>
      <c r="G3" s="55" t="s">
        <v>33</v>
      </c>
      <c r="H3" s="56" t="s">
        <v>34</v>
      </c>
      <c r="I3" s="56" t="s">
        <v>35</v>
      </c>
      <c r="J3" s="56" t="s">
        <v>36</v>
      </c>
      <c r="K3" s="56" t="s">
        <v>32</v>
      </c>
      <c r="L3" s="56" t="s">
        <v>0</v>
      </c>
      <c r="M3" s="56" t="s">
        <v>33</v>
      </c>
    </row>
    <row r="4" spans="1:14">
      <c r="A4" s="57" t="s">
        <v>37</v>
      </c>
      <c r="B4" s="58">
        <v>1233047500</v>
      </c>
      <c r="C4" s="58">
        <v>665818500</v>
      </c>
      <c r="D4" s="58">
        <v>712582500</v>
      </c>
      <c r="E4" s="58">
        <v>0</v>
      </c>
      <c r="F4" s="58">
        <v>519000000</v>
      </c>
      <c r="G4" s="59">
        <f t="shared" ref="G4:G13" si="0">E4+F4</f>
        <v>519000000</v>
      </c>
      <c r="H4" s="59">
        <v>1233047500</v>
      </c>
      <c r="I4" s="59">
        <v>642470750</v>
      </c>
      <c r="J4" s="59">
        <v>642500000</v>
      </c>
      <c r="K4" s="59">
        <f t="shared" ref="K4:K12" si="1">E4</f>
        <v>0</v>
      </c>
      <c r="L4" s="59">
        <v>587315541</v>
      </c>
      <c r="M4" s="59">
        <f t="shared" ref="M4:M12" si="2">K4+L4</f>
        <v>587315541</v>
      </c>
      <c r="N4" s="60">
        <f t="shared" ref="N4:N13" si="3">G4-M4</f>
        <v>-68315541</v>
      </c>
    </row>
    <row r="5" spans="1:14">
      <c r="A5" s="57" t="s">
        <v>38</v>
      </c>
      <c r="B5" s="58">
        <v>34838365965</v>
      </c>
      <c r="C5" s="58">
        <v>23738358396.6667</v>
      </c>
      <c r="D5" s="58">
        <v>23547969815</v>
      </c>
      <c r="E5" s="58">
        <v>0</v>
      </c>
      <c r="F5" s="58">
        <v>22299559260</v>
      </c>
      <c r="G5" s="59">
        <f t="shared" si="0"/>
        <v>22299559260</v>
      </c>
      <c r="H5" s="59">
        <v>36973513945</v>
      </c>
      <c r="I5" s="59">
        <v>21580428612</v>
      </c>
      <c r="J5" s="59">
        <v>19317971408</v>
      </c>
      <c r="K5" s="59">
        <f t="shared" si="1"/>
        <v>0</v>
      </c>
      <c r="L5" s="59">
        <v>21908576584</v>
      </c>
      <c r="M5" s="59">
        <f t="shared" si="2"/>
        <v>21908576584</v>
      </c>
      <c r="N5" s="60">
        <f t="shared" si="3"/>
        <v>390982676</v>
      </c>
    </row>
    <row r="6" spans="1:14">
      <c r="A6" s="57" t="s">
        <v>39</v>
      </c>
      <c r="B6" s="58">
        <v>201456800</v>
      </c>
      <c r="C6" s="58">
        <v>94174390</v>
      </c>
      <c r="D6" s="58">
        <v>103660390</v>
      </c>
      <c r="E6" s="58">
        <v>0</v>
      </c>
      <c r="F6" s="58">
        <v>130815000</v>
      </c>
      <c r="G6" s="59">
        <f t="shared" si="0"/>
        <v>130815000</v>
      </c>
      <c r="H6" s="59">
        <v>201456800</v>
      </c>
      <c r="I6" s="59">
        <v>107743195</v>
      </c>
      <c r="J6" s="59">
        <v>126055000</v>
      </c>
      <c r="K6" s="59">
        <f t="shared" si="1"/>
        <v>0</v>
      </c>
      <c r="L6" s="59">
        <v>122127390</v>
      </c>
      <c r="M6" s="59">
        <f t="shared" si="2"/>
        <v>122127390</v>
      </c>
      <c r="N6" s="60">
        <f t="shared" si="3"/>
        <v>8687610</v>
      </c>
    </row>
    <row r="7" spans="1:14">
      <c r="A7" s="57" t="s">
        <v>40</v>
      </c>
      <c r="B7" s="58">
        <v>37740413610</v>
      </c>
      <c r="C7" s="58">
        <v>21452112655</v>
      </c>
      <c r="D7" s="58">
        <v>16191910015</v>
      </c>
      <c r="E7" s="58">
        <v>267750000</v>
      </c>
      <c r="F7" s="58">
        <v>8193150000</v>
      </c>
      <c r="G7" s="59">
        <f t="shared" si="0"/>
        <v>8460900000</v>
      </c>
      <c r="H7" s="59">
        <v>42077379490</v>
      </c>
      <c r="I7" s="59">
        <v>19193881772</v>
      </c>
      <c r="J7" s="59">
        <v>14310321126</v>
      </c>
      <c r="K7" s="59">
        <f t="shared" si="1"/>
        <v>267750000</v>
      </c>
      <c r="L7" s="59">
        <v>7421724883</v>
      </c>
      <c r="M7" s="59">
        <f t="shared" si="2"/>
        <v>7689474883</v>
      </c>
      <c r="N7" s="60">
        <f t="shared" si="3"/>
        <v>771425117</v>
      </c>
    </row>
    <row r="8" spans="1:14">
      <c r="A8" s="57" t="s">
        <v>41</v>
      </c>
      <c r="B8" s="58">
        <v>5497847260</v>
      </c>
      <c r="C8" s="58">
        <v>2471047835</v>
      </c>
      <c r="D8" s="58">
        <v>2977678520</v>
      </c>
      <c r="E8" s="58">
        <v>63931560</v>
      </c>
      <c r="F8" s="58">
        <v>1428999600</v>
      </c>
      <c r="G8" s="59">
        <f t="shared" si="0"/>
        <v>1492931160</v>
      </c>
      <c r="H8" s="59">
        <v>5651876185</v>
      </c>
      <c r="I8" s="59">
        <v>2355327496</v>
      </c>
      <c r="J8" s="59">
        <v>2492922500</v>
      </c>
      <c r="K8" s="59">
        <f t="shared" si="1"/>
        <v>63931560</v>
      </c>
      <c r="L8" s="59">
        <v>1159146724</v>
      </c>
      <c r="M8" s="59">
        <f t="shared" si="2"/>
        <v>1223078284</v>
      </c>
      <c r="N8" s="60">
        <f t="shared" si="3"/>
        <v>269852876</v>
      </c>
    </row>
    <row r="9" spans="1:14">
      <c r="A9" s="57" t="s">
        <v>42</v>
      </c>
      <c r="B9" s="58">
        <v>122389923658</v>
      </c>
      <c r="C9" s="58">
        <v>75552758526.6667</v>
      </c>
      <c r="D9" s="58">
        <v>100838637996</v>
      </c>
      <c r="E9" s="58">
        <v>24054048</v>
      </c>
      <c r="F9" s="58">
        <v>113867517216</v>
      </c>
      <c r="G9" s="59">
        <f t="shared" si="0"/>
        <v>113891571264</v>
      </c>
      <c r="H9" s="59">
        <v>137734372300</v>
      </c>
      <c r="I9" s="59">
        <v>86672896998</v>
      </c>
      <c r="J9" s="59">
        <v>110294518170</v>
      </c>
      <c r="K9" s="59">
        <f t="shared" si="1"/>
        <v>24054048</v>
      </c>
      <c r="L9" s="59">
        <v>131460457032</v>
      </c>
      <c r="M9" s="59">
        <f t="shared" si="2"/>
        <v>131484511080</v>
      </c>
      <c r="N9" s="60">
        <f t="shared" si="3"/>
        <v>-17592939816</v>
      </c>
    </row>
    <row r="10" spans="1:14">
      <c r="A10" s="57" t="s">
        <v>43</v>
      </c>
      <c r="B10" s="58">
        <v>5129467940</v>
      </c>
      <c r="C10" s="58">
        <v>3348837828.87931</v>
      </c>
      <c r="D10" s="58">
        <v>4031568831.63793</v>
      </c>
      <c r="E10" s="58">
        <v>0</v>
      </c>
      <c r="F10" s="58">
        <v>4482238320</v>
      </c>
      <c r="G10" s="59">
        <f t="shared" si="0"/>
        <v>4482238320</v>
      </c>
      <c r="H10" s="59">
        <v>5210909840</v>
      </c>
      <c r="I10" s="59">
        <v>3575894469</v>
      </c>
      <c r="J10" s="59">
        <v>4143385380</v>
      </c>
      <c r="K10" s="59">
        <f t="shared" si="1"/>
        <v>0</v>
      </c>
      <c r="L10" s="59">
        <v>5488282066</v>
      </c>
      <c r="M10" s="59">
        <f t="shared" si="2"/>
        <v>5488282066</v>
      </c>
      <c r="N10" s="60">
        <f t="shared" si="3"/>
        <v>-1006043746</v>
      </c>
    </row>
    <row r="11" spans="1:14">
      <c r="A11" s="57" t="s">
        <v>44</v>
      </c>
      <c r="B11" s="58">
        <v>1390568720</v>
      </c>
      <c r="C11" s="58">
        <v>866738653.333334</v>
      </c>
      <c r="D11" s="58">
        <v>874775120</v>
      </c>
      <c r="E11" s="58">
        <v>0</v>
      </c>
      <c r="F11" s="58">
        <v>374837760</v>
      </c>
      <c r="G11" s="59">
        <f t="shared" si="0"/>
        <v>374837760</v>
      </c>
      <c r="H11" s="59">
        <v>1390568720</v>
      </c>
      <c r="I11" s="59">
        <v>501899279</v>
      </c>
      <c r="J11" s="59">
        <v>141100000</v>
      </c>
      <c r="K11" s="59">
        <f t="shared" si="1"/>
        <v>0</v>
      </c>
      <c r="L11" s="59">
        <v>0</v>
      </c>
      <c r="M11" s="59">
        <f t="shared" si="2"/>
        <v>0</v>
      </c>
      <c r="N11" s="60">
        <f t="shared" si="3"/>
        <v>374837760</v>
      </c>
    </row>
    <row r="12" spans="1:14">
      <c r="A12" s="57" t="s">
        <v>45</v>
      </c>
      <c r="B12" s="58">
        <v>7640549870</v>
      </c>
      <c r="C12" s="58">
        <v>2162276222.10354</v>
      </c>
      <c r="D12" s="58">
        <v>2374715581.31063</v>
      </c>
      <c r="E12" s="58">
        <v>0</v>
      </c>
      <c r="F12" s="58">
        <v>0</v>
      </c>
      <c r="G12" s="59">
        <f t="shared" si="0"/>
        <v>0</v>
      </c>
      <c r="H12" s="59">
        <v>8334158030</v>
      </c>
      <c r="I12" s="59">
        <v>2317936914</v>
      </c>
      <c r="J12" s="59">
        <v>2589348931</v>
      </c>
      <c r="K12" s="59">
        <f t="shared" si="1"/>
        <v>0</v>
      </c>
      <c r="L12" s="59">
        <v>0</v>
      </c>
      <c r="M12" s="59">
        <f t="shared" si="2"/>
        <v>0</v>
      </c>
      <c r="N12" s="60">
        <f t="shared" si="3"/>
        <v>0</v>
      </c>
    </row>
    <row r="13" spans="1:14">
      <c r="A13" s="57" t="s">
        <v>7</v>
      </c>
      <c r="B13" s="58">
        <v>216061641323</v>
      </c>
      <c r="C13" s="58">
        <v>130352123007.65</v>
      </c>
      <c r="D13" s="58">
        <v>151653498768.949</v>
      </c>
      <c r="E13" s="58">
        <v>355735608</v>
      </c>
      <c r="F13" s="58">
        <v>151296117156</v>
      </c>
      <c r="G13" s="59">
        <f t="shared" si="0"/>
        <v>151651852764</v>
      </c>
      <c r="H13" s="59">
        <f t="shared" ref="H13:M13" si="4">SUM(H4:H12)</f>
        <v>238807282810</v>
      </c>
      <c r="I13" s="59">
        <f t="shared" si="4"/>
        <v>136948479485</v>
      </c>
      <c r="J13" s="59">
        <f t="shared" si="4"/>
        <v>154058122515</v>
      </c>
      <c r="K13" s="59">
        <f t="shared" si="4"/>
        <v>355735608</v>
      </c>
      <c r="L13" s="59">
        <f t="shared" si="4"/>
        <v>168147630220</v>
      </c>
      <c r="M13" s="59">
        <f t="shared" si="4"/>
        <v>168503365828</v>
      </c>
      <c r="N13" s="60">
        <f t="shared" si="3"/>
        <v>-16851513064</v>
      </c>
    </row>
  </sheetData>
  <mergeCells count="1">
    <mergeCell ref="H2:M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R116"/>
  <sheetViews>
    <sheetView showGridLines="0" tabSelected="1" workbookViewId="0">
      <pane xSplit="5" ySplit="6" topLeftCell="W7" activePane="bottomRight" state="frozen"/>
      <selection/>
      <selection pane="topRight"/>
      <selection pane="bottomLeft"/>
      <selection pane="bottomRight" activeCell="AQ26" sqref="AQ26"/>
    </sheetView>
  </sheetViews>
  <sheetFormatPr defaultColWidth="9" defaultRowHeight="12.75"/>
  <cols>
    <col min="1" max="1" width="5" style="1" customWidth="1"/>
    <col min="2" max="2" width="18.2857142857143" style="1" customWidth="1"/>
    <col min="3" max="3" width="10.2857142857143" style="1" customWidth="1"/>
    <col min="4" max="4" width="33.4285714285714" style="1" customWidth="1"/>
    <col min="5" max="5" width="12.5714285714286" style="1" customWidth="1"/>
    <col min="6" max="6" width="12.2857142857143" style="1" customWidth="1"/>
    <col min="7" max="9" width="13.5714285714286" style="1" customWidth="1"/>
    <col min="10" max="10" width="16.1428571428571" style="1" customWidth="1"/>
    <col min="11" max="24" width="13.5714285714286" style="1" customWidth="1"/>
    <col min="25" max="25" width="16" style="2" customWidth="1"/>
    <col min="26" max="30" width="16.2857142857143" style="1" hidden="1" customWidth="1"/>
    <col min="31" max="32" width="16" style="1" hidden="1" customWidth="1"/>
    <col min="33" max="37" width="16.2857142857143" style="1" hidden="1" customWidth="1"/>
    <col min="38" max="38" width="18" style="1" customWidth="1"/>
    <col min="39" max="39" width="10.2857142857143" style="1" customWidth="1"/>
    <col min="40" max="42" width="9.14285714285714" style="1"/>
    <col min="43" max="43" width="18" style="3"/>
    <col min="44" max="44" width="16.4285714285714" style="1" customWidth="1"/>
    <col min="45" max="16383" width="9.14285714285714" style="1"/>
    <col min="16384" max="16384" width="9" style="1"/>
  </cols>
  <sheetData>
    <row r="1" ht="17.25" customHeight="1" spans="1:44">
      <c r="A1" s="4"/>
      <c r="B1" s="4"/>
      <c r="C1" s="4"/>
      <c r="D1" s="4"/>
      <c r="E1" s="4"/>
      <c r="F1" s="4"/>
      <c r="G1" s="4"/>
      <c r="H1" s="5"/>
      <c r="I1" s="5"/>
      <c r="J1" s="6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7"/>
      <c r="Z1" s="8"/>
      <c r="AA1" s="8"/>
      <c r="AB1" s="8"/>
      <c r="AC1" s="8"/>
      <c r="AD1" s="9"/>
      <c r="AE1" s="10"/>
      <c r="AF1" s="8"/>
      <c r="AG1" s="8"/>
      <c r="AH1" s="8"/>
      <c r="AI1" s="8"/>
      <c r="AJ1" s="8"/>
      <c r="AK1" s="9"/>
    </row>
    <row r="2" ht="13.5" spans="1:44">
      <c r="A2" s="4">
        <v>18</v>
      </c>
      <c r="B2" s="4"/>
      <c r="C2" s="4" t="str">
        <f>IFERROR(VLOOKUP(A2,mamat,2,0),"")</f>
        <v/>
      </c>
      <c r="D2" s="4"/>
      <c r="E2" s="4"/>
      <c r="F2" s="4"/>
      <c r="G2" s="4"/>
      <c r="H2" s="4"/>
      <c r="I2" s="4"/>
      <c r="J2" s="11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12"/>
      <c r="Z2" s="13"/>
      <c r="AA2" s="13"/>
      <c r="AB2" s="13"/>
      <c r="AC2" s="13"/>
      <c r="AD2" s="14"/>
      <c r="AE2" s="15"/>
      <c r="AF2" s="13"/>
      <c r="AG2" s="13"/>
      <c r="AH2" s="13"/>
      <c r="AI2" s="13"/>
      <c r="AJ2" s="13"/>
      <c r="AK2" s="14"/>
    </row>
    <row r="3" ht="21" customHeight="1" spans="1:44">
      <c r="A3" s="4"/>
      <c r="B3" s="4"/>
      <c r="C3" s="4"/>
      <c r="D3" s="4"/>
      <c r="E3" s="4"/>
      <c r="F3" s="16" t="s">
        <v>46</v>
      </c>
      <c r="G3" s="17">
        <f>SUMPRODUCT($F$7:$F$362,G$7:G$362)</f>
        <v>120423280212</v>
      </c>
      <c r="H3" s="17">
        <f t="shared" ref="H3:O3" si="0">SUMPRODUCT($F$7:$F$362,H$7:H$362)</f>
        <v>151653498768.949</v>
      </c>
      <c r="I3" s="17">
        <f t="shared" si="0"/>
        <v>130352123007.65</v>
      </c>
      <c r="J3" s="17">
        <f t="shared" si="0"/>
        <v>166368874523</v>
      </c>
      <c r="K3" s="17">
        <f t="shared" si="0"/>
        <v>27722686448</v>
      </c>
      <c r="L3" s="17">
        <f t="shared" si="0"/>
        <v>4186077399</v>
      </c>
      <c r="M3" s="17">
        <f t="shared" si="0"/>
        <v>21970080352</v>
      </c>
      <c r="N3" s="17">
        <f t="shared" si="0"/>
        <v>355735608</v>
      </c>
      <c r="O3" s="17">
        <f t="shared" si="0"/>
        <v>61684690594</v>
      </c>
      <c r="P3" s="18"/>
      <c r="Q3" s="19"/>
      <c r="R3" s="17">
        <f>SUMPRODUCT($F$7:$F$362,R$7:R$362)</f>
        <v>216061641323</v>
      </c>
      <c r="S3" s="20">
        <f>IF(AND(R3&gt;0,I3&lt;=0),9999,IF(AND(R3&lt;=0,I3&lt;=0),0,R3/I3*30))</f>
        <v>49.7256898478717</v>
      </c>
      <c r="T3" s="17">
        <f>SUMPRODUCT($F$7:$F$362,T$7:T$362)</f>
        <v>156777167749.548</v>
      </c>
      <c r="U3" s="17">
        <f>SUMPRODUCT($F$7:$F$362,U$7:U$362)</f>
        <v>49907116132</v>
      </c>
      <c r="V3" s="17">
        <f>SUMPRODUCT($F$7:$F$362,V$7:V$362)</f>
        <v>151301097900.214</v>
      </c>
      <c r="W3" s="17">
        <f>SUMPRODUCT($F$7:$F$362,W$7:W$362)</f>
        <v>151296117156</v>
      </c>
      <c r="X3" s="21">
        <f>IFERROR(IF(AND(R3+W3+N3-H3&gt;0,I3&lt;=0),9999,IF(R3+W3+N3-H3&lt;=0,0,(R3+W3+N3-H3)/I3*30)),0)</f>
        <v>49.7253110266656</v>
      </c>
      <c r="Y3" s="22" t="s">
        <v>47</v>
      </c>
      <c r="Z3" s="23"/>
      <c r="AA3" s="23"/>
      <c r="AB3" s="23"/>
      <c r="AC3" s="23"/>
      <c r="AD3" s="24"/>
      <c r="AE3" s="25" t="s">
        <v>48</v>
      </c>
      <c r="AF3" s="26"/>
      <c r="AG3" s="26"/>
      <c r="AH3" s="26"/>
      <c r="AI3" s="26"/>
      <c r="AJ3" s="26"/>
      <c r="AK3" s="27"/>
    </row>
    <row r="4" ht="16.5" spans="1:44">
      <c r="A4" s="4"/>
      <c r="B4" s="28" t="s">
        <v>49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12"/>
      <c r="Z4" s="13"/>
      <c r="AA4" s="13"/>
      <c r="AB4" s="13"/>
      <c r="AC4" s="13"/>
      <c r="AD4" s="14"/>
      <c r="AE4" s="15"/>
      <c r="AF4" s="13"/>
      <c r="AG4" s="13"/>
      <c r="AH4" s="13"/>
      <c r="AI4" s="13"/>
      <c r="AJ4" s="13"/>
      <c r="AK4" s="14"/>
    </row>
    <row r="5" ht="13.5" spans="1:44">
      <c r="A5" s="4"/>
      <c r="B5" s="4" t="s">
        <v>50</v>
      </c>
      <c r="C5" s="4"/>
      <c r="D5" s="4"/>
      <c r="E5" s="4"/>
      <c r="F5" s="29" t="s">
        <v>51</v>
      </c>
      <c r="G5" s="29" t="s">
        <v>52</v>
      </c>
      <c r="H5" s="29" t="s">
        <v>53</v>
      </c>
      <c r="I5" s="29" t="s">
        <v>54</v>
      </c>
      <c r="J5" s="29" t="s">
        <v>55</v>
      </c>
      <c r="K5" s="29" t="s">
        <v>56</v>
      </c>
      <c r="L5" s="29" t="s">
        <v>57</v>
      </c>
      <c r="M5" s="29" t="s">
        <v>58</v>
      </c>
      <c r="N5" s="29" t="s">
        <v>59</v>
      </c>
      <c r="O5" s="29" t="s">
        <v>60</v>
      </c>
      <c r="P5" s="29" t="s">
        <v>61</v>
      </c>
      <c r="Q5" s="29" t="s">
        <v>62</v>
      </c>
      <c r="R5" s="4"/>
      <c r="S5" s="4"/>
      <c r="T5" s="4"/>
      <c r="U5" s="4"/>
      <c r="V5" s="4"/>
      <c r="W5" s="4"/>
      <c r="X5" s="4"/>
      <c r="Y5" s="30">
        <f>SUBTOTAL(9,Y7:Y116)</f>
        <v>151296117156</v>
      </c>
      <c r="Z5" s="13"/>
      <c r="AA5" s="13"/>
      <c r="AB5" s="13"/>
      <c r="AC5" s="13"/>
      <c r="AD5" s="14"/>
      <c r="AE5" s="15"/>
      <c r="AF5" s="13"/>
      <c r="AG5" s="13"/>
      <c r="AH5" s="13"/>
      <c r="AI5" s="13"/>
      <c r="AJ5" s="13"/>
      <c r="AK5" s="14"/>
      <c r="AQ5" s="3" cm="1">
        <f t="array" ref="AQ5">SUMPRODUCT(AQ7:AQ116,$F$7:$F$116)</f>
        <v>27303862788</v>
      </c>
      <c r="AR5" s="3" cm="1">
        <f t="array" ref="AR5">SUMPRODUCT(AR7:AR116,$F$7:$F$116)</f>
        <v>123992254368</v>
      </c>
    </row>
    <row r="6" ht="38.25" spans="1:44">
      <c r="A6" s="31" t="s">
        <v>63</v>
      </c>
      <c r="B6" s="32" t="s">
        <v>27</v>
      </c>
      <c r="C6" s="33" t="s">
        <v>64</v>
      </c>
      <c r="D6" s="33" t="s">
        <v>65</v>
      </c>
      <c r="E6" s="33" t="s">
        <v>66</v>
      </c>
      <c r="F6" s="34" t="s">
        <v>67</v>
      </c>
      <c r="G6" s="34" t="s">
        <v>68</v>
      </c>
      <c r="H6" s="34" t="s">
        <v>69</v>
      </c>
      <c r="I6" s="35" t="s">
        <v>70</v>
      </c>
      <c r="J6" s="34" t="s">
        <v>71</v>
      </c>
      <c r="K6" s="34" t="s">
        <v>72</v>
      </c>
      <c r="L6" s="34" t="s">
        <v>73</v>
      </c>
      <c r="M6" s="34" t="s">
        <v>74</v>
      </c>
      <c r="N6" s="34" t="s">
        <v>75</v>
      </c>
      <c r="O6" s="34" t="s">
        <v>76</v>
      </c>
      <c r="P6" s="34" t="s">
        <v>77</v>
      </c>
      <c r="Q6" s="34" t="s">
        <v>78</v>
      </c>
      <c r="R6" s="34" t="s">
        <v>79</v>
      </c>
      <c r="S6" s="34" t="s">
        <v>80</v>
      </c>
      <c r="T6" s="34" t="s">
        <v>81</v>
      </c>
      <c r="U6" s="34" t="s">
        <v>82</v>
      </c>
      <c r="V6" s="34" t="s">
        <v>83</v>
      </c>
      <c r="W6" s="34" t="s">
        <v>84</v>
      </c>
      <c r="X6" s="34" t="s">
        <v>85</v>
      </c>
      <c r="Y6" s="36" t="s">
        <v>84</v>
      </c>
      <c r="Z6" s="37" t="s">
        <v>68</v>
      </c>
      <c r="AA6" s="37" t="s">
        <v>69</v>
      </c>
      <c r="AB6" s="37" t="s">
        <v>70</v>
      </c>
      <c r="AC6" s="37" t="s">
        <v>75</v>
      </c>
      <c r="AD6" s="37" t="s">
        <v>79</v>
      </c>
      <c r="AE6" s="38" t="s">
        <v>86</v>
      </c>
      <c r="AF6" s="38" t="s">
        <v>84</v>
      </c>
      <c r="AG6" s="38" t="s">
        <v>68</v>
      </c>
      <c r="AH6" s="38" t="s">
        <v>69</v>
      </c>
      <c r="AI6" s="38" t="s">
        <v>70</v>
      </c>
      <c r="AJ6" s="38" t="s">
        <v>75</v>
      </c>
      <c r="AK6" s="38" t="s">
        <v>79</v>
      </c>
      <c r="AL6" s="39" t="s">
        <v>87</v>
      </c>
      <c r="AM6" s="39" t="s">
        <v>88</v>
      </c>
      <c r="AN6" s="39" t="s">
        <v>89</v>
      </c>
      <c r="AO6" s="39" t="s">
        <v>90</v>
      </c>
      <c r="AP6" s="40" t="s">
        <v>91</v>
      </c>
      <c r="AQ6" s="41" t="s">
        <v>92</v>
      </c>
      <c r="AR6" s="1" t="s">
        <v>93</v>
      </c>
    </row>
    <row r="7" spans="1:44">
      <c r="A7" s="42" t="e">
        <f t="shared" ref="A7:A66" si="1">A6+1</f>
        <v>#VALUE!</v>
      </c>
      <c r="B7" s="43" t="s">
        <v>26</v>
      </c>
      <c r="C7" s="43" t="s">
        <v>94</v>
      </c>
      <c r="D7" s="43" t="s">
        <v>95</v>
      </c>
      <c r="E7" s="43" t="s">
        <v>3</v>
      </c>
      <c r="F7" s="44">
        <v>18275</v>
      </c>
      <c r="G7" s="44">
        <v>22582.0000000001</v>
      </c>
      <c r="H7" s="44">
        <v>30566</v>
      </c>
      <c r="I7" s="44">
        <v>24627.3333333333</v>
      </c>
      <c r="J7" s="44">
        <v>43972</v>
      </c>
      <c r="K7" s="44">
        <v>5328</v>
      </c>
      <c r="L7" s="44">
        <v>0</v>
      </c>
      <c r="M7" s="44">
        <v>6768</v>
      </c>
      <c r="N7" s="44">
        <v>0</v>
      </c>
      <c r="O7" s="44">
        <v>4752</v>
      </c>
      <c r="P7" s="44">
        <v>144</v>
      </c>
      <c r="Q7" s="44">
        <v>45</v>
      </c>
      <c r="R7" s="44">
        <v>56068</v>
      </c>
      <c r="S7" s="44">
        <v>68.299721177012</v>
      </c>
      <c r="T7" s="44">
        <f t="shared" ref="T7:T70" si="2">IF($C7="","",IF(ISERROR(Q7/30*I7+H7-R7-N7),0,IF(Q7/30*I7+H7-R7-N7&lt;=0,0,Q7/30*I7+H7-R7-N7)))</f>
        <v>11439</v>
      </c>
      <c r="U7" s="44">
        <f t="shared" ref="U7:U70" si="3">IF($C7="","",IF(ISERROR(L7-M7-N7+O7&lt;0),0,IF(L7-M7-N7+O7&lt;0,0,L7-M7-N7+O7)))</f>
        <v>0</v>
      </c>
      <c r="V7" s="44">
        <f>IFERROR(IF(OR(I7&lt;=0,H7&lt;=0),0,IF(AND((J7+K7+M7+U7+N7-H7)/G7*30&lt;1.5*Q7,U7&gt;T7),U7,T7)),0)</f>
        <v>11439</v>
      </c>
      <c r="W7" s="45">
        <f t="shared" ref="W7:W70" si="4">IFERROR(ROUND(V7/P7,0)*P7,0)</f>
        <v>11376</v>
      </c>
      <c r="X7" s="44">
        <f t="shared" ref="X7:X70" si="5">IF($C7="","",IF(AND(R7+W7+N7-H7&gt;0,I7&lt;=0),9999,IF(R7+W7+N7-H7&lt;=0,0,(R7+W7+N7-H7)/I7*30)))</f>
        <v>44.9232560028153</v>
      </c>
      <c r="Y7" s="46">
        <f t="shared" ref="Y7:Y70" si="6">IFERROR(W7*F7,0)</f>
        <v>207896400</v>
      </c>
      <c r="Z7" s="44">
        <f t="shared" ref="Z7:Z70" si="7">IFERROR($F7*G7,0)</f>
        <v>412686050.000001</v>
      </c>
      <c r="AA7" s="44">
        <f t="shared" ref="AA7:AA70" si="8">IFERROR($F7*H7,0)</f>
        <v>558593650</v>
      </c>
      <c r="AB7" s="44">
        <f t="shared" ref="AB7:AB70" si="9">IFERROR($F7*I7,0)</f>
        <v>450064516.666667</v>
      </c>
      <c r="AC7" s="44">
        <f t="shared" ref="AC7:AC70" si="10">IFERROR($F7*N7,0)</f>
        <v>0</v>
      </c>
      <c r="AD7" s="44">
        <f t="shared" ref="AD7:AD70" si="11">IFERROR($F7*R7,0)</f>
        <v>1024642700</v>
      </c>
      <c r="AE7" s="44">
        <f>IFERROR(VLOOKUP(C7,#REF!,5,0),0)</f>
        <v>0</v>
      </c>
      <c r="AF7" s="44">
        <f t="shared" ref="AF7:AF70" si="12">IFERROR(W7*$AE7,0)</f>
        <v>0</v>
      </c>
      <c r="AG7" s="44">
        <f t="shared" ref="AG7:AG70" si="13">IFERROR(G7*$AE7,0)</f>
        <v>0</v>
      </c>
      <c r="AH7" s="44">
        <f t="shared" ref="AH7:AH70" si="14">IFERROR(H7*$AE7,0)</f>
        <v>0</v>
      </c>
      <c r="AI7" s="44">
        <f t="shared" ref="AI7:AI70" si="15">IFERROR(I7*$AE7,0)</f>
        <v>0</v>
      </c>
      <c r="AJ7" s="44">
        <f t="shared" ref="AJ7:AJ70" si="16">IFERROR(N7*$AE7,0)</f>
        <v>0</v>
      </c>
      <c r="AK7" s="44">
        <f t="shared" ref="AK7:AK70" si="17">IFERROR(R7*$AE7,0)</f>
        <v>0</v>
      </c>
      <c r="AL7" s="43" t="s">
        <v>41</v>
      </c>
      <c r="AM7" s="47">
        <f t="shared" ref="AM7:AM70" si="18">W7-U7</f>
        <v>11376</v>
      </c>
      <c r="AN7" s="43">
        <v>0</v>
      </c>
      <c r="AO7" s="43">
        <v>0</v>
      </c>
      <c r="AP7" s="48">
        <v>0</v>
      </c>
      <c r="AQ7" s="3">
        <f t="shared" ref="AQ7:AQ70" si="19">ROUNDUP(AN7/P7,0)*P7</f>
        <v>0</v>
      </c>
      <c r="AR7" s="1">
        <f>W7-AQ7</f>
        <v>11376</v>
      </c>
    </row>
    <row r="8" spans="1:44">
      <c r="A8" s="42" t="e">
        <f t="shared" si="1"/>
        <v>#VALUE!</v>
      </c>
      <c r="B8" s="43" t="s">
        <v>26</v>
      </c>
      <c r="C8" s="43" t="s">
        <v>96</v>
      </c>
      <c r="D8" s="43" t="s">
        <v>97</v>
      </c>
      <c r="E8" s="43" t="s">
        <v>4</v>
      </c>
      <c r="F8" s="44">
        <v>18275</v>
      </c>
      <c r="G8" s="44">
        <v>-2534.66666666671</v>
      </c>
      <c r="H8" s="44">
        <v>1420</v>
      </c>
      <c r="I8" s="44">
        <v>-1214</v>
      </c>
      <c r="J8" s="44">
        <v>2526</v>
      </c>
      <c r="K8" s="44">
        <v>0</v>
      </c>
      <c r="L8" s="44">
        <v>0</v>
      </c>
      <c r="M8" s="44">
        <v>0</v>
      </c>
      <c r="N8" s="44">
        <v>0</v>
      </c>
      <c r="O8" s="44">
        <v>864</v>
      </c>
      <c r="P8" s="44">
        <v>144</v>
      </c>
      <c r="Q8" s="44">
        <v>45</v>
      </c>
      <c r="R8" s="44">
        <v>2526</v>
      </c>
      <c r="S8" s="44">
        <v>9999</v>
      </c>
      <c r="T8" s="44">
        <f t="shared" si="2"/>
        <v>0</v>
      </c>
      <c r="U8" s="44">
        <f t="shared" si="3"/>
        <v>864</v>
      </c>
      <c r="V8" s="44">
        <v>864</v>
      </c>
      <c r="W8" s="45">
        <f t="shared" si="4"/>
        <v>864</v>
      </c>
      <c r="X8" s="44">
        <f t="shared" si="5"/>
        <v>9999</v>
      </c>
      <c r="Y8" s="46">
        <f t="shared" si="6"/>
        <v>15789600</v>
      </c>
      <c r="Z8" s="44">
        <f t="shared" si="7"/>
        <v>-46321033.3333341</v>
      </c>
      <c r="AA8" s="44">
        <f t="shared" si="8"/>
        <v>25950500</v>
      </c>
      <c r="AB8" s="44">
        <f t="shared" si="9"/>
        <v>-22185850</v>
      </c>
      <c r="AC8" s="44">
        <f t="shared" si="10"/>
        <v>0</v>
      </c>
      <c r="AD8" s="44">
        <f t="shared" si="11"/>
        <v>46162650</v>
      </c>
      <c r="AE8" s="44">
        <f>IFERROR(VLOOKUP(C8,#REF!,5,0),0)</f>
        <v>0</v>
      </c>
      <c r="AF8" s="44">
        <f t="shared" si="12"/>
        <v>0</v>
      </c>
      <c r="AG8" s="44">
        <f t="shared" si="13"/>
        <v>0</v>
      </c>
      <c r="AH8" s="44">
        <f t="shared" si="14"/>
        <v>0</v>
      </c>
      <c r="AI8" s="44">
        <f t="shared" si="15"/>
        <v>0</v>
      </c>
      <c r="AJ8" s="44">
        <f t="shared" si="16"/>
        <v>0</v>
      </c>
      <c r="AK8" s="44">
        <f t="shared" si="17"/>
        <v>0</v>
      </c>
      <c r="AL8" s="43" t="s">
        <v>41</v>
      </c>
      <c r="AM8" s="47">
        <f t="shared" si="18"/>
        <v>0</v>
      </c>
      <c r="AN8" s="43">
        <v>0</v>
      </c>
      <c r="AO8" s="43">
        <v>0</v>
      </c>
      <c r="AP8" s="48">
        <v>0</v>
      </c>
      <c r="AQ8" s="3">
        <f t="shared" si="19"/>
        <v>0</v>
      </c>
      <c r="AR8" s="1">
        <f t="shared" ref="AR8:AR39" si="20">W8-AQ8</f>
        <v>864</v>
      </c>
    </row>
    <row r="9" spans="1:44">
      <c r="A9" s="42" t="e">
        <f t="shared" si="1"/>
        <v>#VALUE!</v>
      </c>
      <c r="B9" s="43" t="s">
        <v>26</v>
      </c>
      <c r="C9" s="43" t="s">
        <v>98</v>
      </c>
      <c r="D9" s="43" t="s">
        <v>99</v>
      </c>
      <c r="E9" s="43" t="s">
        <v>4</v>
      </c>
      <c r="F9" s="44">
        <v>18275</v>
      </c>
      <c r="G9" s="44">
        <v>2156.33333333333</v>
      </c>
      <c r="H9" s="44">
        <v>3171</v>
      </c>
      <c r="I9" s="44">
        <v>2475.33333333333</v>
      </c>
      <c r="J9" s="44">
        <v>5395</v>
      </c>
      <c r="K9" s="44">
        <v>0</v>
      </c>
      <c r="L9" s="44">
        <v>0</v>
      </c>
      <c r="M9" s="44">
        <v>288</v>
      </c>
      <c r="N9" s="44">
        <v>0</v>
      </c>
      <c r="O9" s="44">
        <v>1008</v>
      </c>
      <c r="P9" s="44">
        <v>144</v>
      </c>
      <c r="Q9" s="44">
        <v>45</v>
      </c>
      <c r="R9" s="44">
        <v>5683</v>
      </c>
      <c r="S9" s="44">
        <v>68.8755723134932</v>
      </c>
      <c r="T9" s="44">
        <f t="shared" si="2"/>
        <v>1201</v>
      </c>
      <c r="U9" s="44">
        <f t="shared" si="3"/>
        <v>720</v>
      </c>
      <c r="V9" s="44">
        <f t="shared" ref="V9:V14" si="21">IFERROR(IF(OR(I9&lt;=0,H9&lt;=0),0,IF(AND((J9+K9+M9+U9+N9-H9)/G9*30&lt;1.5*Q9,U9&gt;T9),U9,T9)),0)</f>
        <v>1201</v>
      </c>
      <c r="W9" s="45">
        <f t="shared" si="4"/>
        <v>1152</v>
      </c>
      <c r="X9" s="44">
        <f t="shared" si="5"/>
        <v>44.4061405871263</v>
      </c>
      <c r="Y9" s="46">
        <f t="shared" si="6"/>
        <v>21052800</v>
      </c>
      <c r="Z9" s="44">
        <f t="shared" si="7"/>
        <v>39406991.6666665</v>
      </c>
      <c r="AA9" s="44">
        <f t="shared" si="8"/>
        <v>57950025</v>
      </c>
      <c r="AB9" s="44">
        <f t="shared" si="9"/>
        <v>45236716.6666667</v>
      </c>
      <c r="AC9" s="44">
        <f t="shared" si="10"/>
        <v>0</v>
      </c>
      <c r="AD9" s="44">
        <f t="shared" si="11"/>
        <v>103856825</v>
      </c>
      <c r="AE9" s="44">
        <f>IFERROR(VLOOKUP(C9,#REF!,5,0),0)</f>
        <v>0</v>
      </c>
      <c r="AF9" s="44">
        <f t="shared" si="12"/>
        <v>0</v>
      </c>
      <c r="AG9" s="44">
        <f t="shared" si="13"/>
        <v>0</v>
      </c>
      <c r="AH9" s="44">
        <f t="shared" si="14"/>
        <v>0</v>
      </c>
      <c r="AI9" s="44">
        <f t="shared" si="15"/>
        <v>0</v>
      </c>
      <c r="AJ9" s="44">
        <f t="shared" si="16"/>
        <v>0</v>
      </c>
      <c r="AK9" s="44">
        <f t="shared" si="17"/>
        <v>0</v>
      </c>
      <c r="AL9" s="43" t="s">
        <v>41</v>
      </c>
      <c r="AM9" s="47">
        <f t="shared" si="18"/>
        <v>432</v>
      </c>
      <c r="AN9" s="43">
        <v>720</v>
      </c>
      <c r="AO9" s="43">
        <v>720</v>
      </c>
      <c r="AP9" s="48">
        <v>720</v>
      </c>
      <c r="AQ9" s="3">
        <f t="shared" si="19"/>
        <v>720</v>
      </c>
      <c r="AR9" s="1">
        <f t="shared" si="20"/>
        <v>432</v>
      </c>
    </row>
    <row r="10" spans="1:44">
      <c r="A10" s="42" t="e">
        <f t="shared" si="1"/>
        <v>#VALUE!</v>
      </c>
      <c r="B10" s="43" t="s">
        <v>26</v>
      </c>
      <c r="C10" s="43" t="s">
        <v>100</v>
      </c>
      <c r="D10" s="43" t="s">
        <v>101</v>
      </c>
      <c r="E10" s="43" t="s">
        <v>3</v>
      </c>
      <c r="F10" s="44">
        <v>19975</v>
      </c>
      <c r="G10" s="44">
        <v>24008</v>
      </c>
      <c r="H10" s="44">
        <v>29556</v>
      </c>
      <c r="I10" s="44">
        <v>26519</v>
      </c>
      <c r="J10" s="44">
        <v>36436</v>
      </c>
      <c r="K10" s="44">
        <v>1680</v>
      </c>
      <c r="L10" s="44">
        <v>1008</v>
      </c>
      <c r="M10" s="44">
        <v>8976</v>
      </c>
      <c r="N10" s="44">
        <v>0</v>
      </c>
      <c r="O10" s="44">
        <v>8496</v>
      </c>
      <c r="P10" s="44">
        <v>48</v>
      </c>
      <c r="Q10" s="44">
        <v>45</v>
      </c>
      <c r="R10" s="44">
        <v>47092</v>
      </c>
      <c r="S10" s="44">
        <v>53.2735020174215</v>
      </c>
      <c r="T10" s="44">
        <f t="shared" si="2"/>
        <v>22242.5</v>
      </c>
      <c r="U10" s="44">
        <f t="shared" si="3"/>
        <v>528</v>
      </c>
      <c r="V10" s="44">
        <f t="shared" si="21"/>
        <v>22242.5</v>
      </c>
      <c r="W10" s="45">
        <f t="shared" si="4"/>
        <v>22224</v>
      </c>
      <c r="X10" s="44">
        <f t="shared" si="5"/>
        <v>44.979071609035</v>
      </c>
      <c r="Y10" s="46">
        <f t="shared" si="6"/>
        <v>443924400</v>
      </c>
      <c r="Z10" s="44">
        <f t="shared" si="7"/>
        <v>479559799.999999</v>
      </c>
      <c r="AA10" s="44">
        <f t="shared" si="8"/>
        <v>590381100</v>
      </c>
      <c r="AB10" s="44">
        <f t="shared" si="9"/>
        <v>529717025</v>
      </c>
      <c r="AC10" s="44">
        <f t="shared" si="10"/>
        <v>0</v>
      </c>
      <c r="AD10" s="44">
        <f t="shared" si="11"/>
        <v>940662700</v>
      </c>
      <c r="AE10" s="44">
        <f>IFERROR(VLOOKUP(C10,#REF!,5,0),0)</f>
        <v>0</v>
      </c>
      <c r="AF10" s="44">
        <f t="shared" si="12"/>
        <v>0</v>
      </c>
      <c r="AG10" s="44">
        <f t="shared" si="13"/>
        <v>0</v>
      </c>
      <c r="AH10" s="44">
        <f t="shared" si="14"/>
        <v>0</v>
      </c>
      <c r="AI10" s="44">
        <f t="shared" si="15"/>
        <v>0</v>
      </c>
      <c r="AJ10" s="44">
        <f t="shared" si="16"/>
        <v>0</v>
      </c>
      <c r="AK10" s="44">
        <f t="shared" si="17"/>
        <v>0</v>
      </c>
      <c r="AL10" s="43" t="s">
        <v>41</v>
      </c>
      <c r="AM10" s="47">
        <f t="shared" si="18"/>
        <v>21696</v>
      </c>
      <c r="AN10" s="43">
        <v>0</v>
      </c>
      <c r="AO10" s="43">
        <v>0</v>
      </c>
      <c r="AP10" s="48">
        <v>0</v>
      </c>
      <c r="AQ10" s="3">
        <f t="shared" si="19"/>
        <v>0</v>
      </c>
      <c r="AR10" s="1">
        <f t="shared" si="20"/>
        <v>22224</v>
      </c>
    </row>
    <row r="11" spans="1:44">
      <c r="A11" s="42" t="e">
        <f t="shared" si="1"/>
        <v>#VALUE!</v>
      </c>
      <c r="B11" s="43" t="s">
        <v>26</v>
      </c>
      <c r="C11" s="43" t="s">
        <v>102</v>
      </c>
      <c r="D11" s="43" t="s">
        <v>103</v>
      </c>
      <c r="E11" s="43" t="s">
        <v>4</v>
      </c>
      <c r="F11" s="44">
        <v>34850</v>
      </c>
      <c r="G11" s="44">
        <v>228.333333333332</v>
      </c>
      <c r="H11" s="44">
        <v>684</v>
      </c>
      <c r="I11" s="44">
        <v>458.333333333333</v>
      </c>
      <c r="J11" s="44">
        <v>1083</v>
      </c>
      <c r="K11" s="44">
        <v>72</v>
      </c>
      <c r="L11" s="44">
        <v>48</v>
      </c>
      <c r="M11" s="44">
        <v>48</v>
      </c>
      <c r="N11" s="44">
        <v>0</v>
      </c>
      <c r="O11" s="44">
        <v>192</v>
      </c>
      <c r="P11" s="44">
        <v>24</v>
      </c>
      <c r="Q11" s="44">
        <v>45</v>
      </c>
      <c r="R11" s="44">
        <v>1203</v>
      </c>
      <c r="S11" s="44">
        <v>78.7418181818182</v>
      </c>
      <c r="T11" s="44">
        <f t="shared" si="2"/>
        <v>168.5</v>
      </c>
      <c r="U11" s="44">
        <f t="shared" si="3"/>
        <v>192</v>
      </c>
      <c r="V11" s="44">
        <f t="shared" si="21"/>
        <v>168.5</v>
      </c>
      <c r="W11" s="45">
        <f t="shared" si="4"/>
        <v>168</v>
      </c>
      <c r="X11" s="44">
        <f t="shared" si="5"/>
        <v>44.9672727272727</v>
      </c>
      <c r="Y11" s="46">
        <f t="shared" si="6"/>
        <v>5854800</v>
      </c>
      <c r="Z11" s="44">
        <f t="shared" si="7"/>
        <v>7957416.6666666</v>
      </c>
      <c r="AA11" s="44">
        <f t="shared" si="8"/>
        <v>23837400</v>
      </c>
      <c r="AB11" s="44">
        <f t="shared" si="9"/>
        <v>15972916.6666667</v>
      </c>
      <c r="AC11" s="44">
        <f t="shared" si="10"/>
        <v>0</v>
      </c>
      <c r="AD11" s="44">
        <f t="shared" si="11"/>
        <v>41924550</v>
      </c>
      <c r="AE11" s="44">
        <f>IFERROR(VLOOKUP(C11,#REF!,5,0),0)</f>
        <v>0</v>
      </c>
      <c r="AF11" s="44">
        <f t="shared" si="12"/>
        <v>0</v>
      </c>
      <c r="AG11" s="44">
        <f t="shared" si="13"/>
        <v>0</v>
      </c>
      <c r="AH11" s="44">
        <f t="shared" si="14"/>
        <v>0</v>
      </c>
      <c r="AI11" s="44">
        <f t="shared" si="15"/>
        <v>0</v>
      </c>
      <c r="AJ11" s="44">
        <f t="shared" si="16"/>
        <v>0</v>
      </c>
      <c r="AK11" s="44">
        <f t="shared" si="17"/>
        <v>0</v>
      </c>
      <c r="AL11" s="43" t="s">
        <v>41</v>
      </c>
      <c r="AM11" s="47">
        <f t="shared" si="18"/>
        <v>-24</v>
      </c>
      <c r="AN11" s="43">
        <v>96</v>
      </c>
      <c r="AO11" s="43">
        <v>96</v>
      </c>
      <c r="AP11" s="48">
        <v>120</v>
      </c>
      <c r="AQ11" s="3">
        <f t="shared" si="19"/>
        <v>96</v>
      </c>
      <c r="AR11" s="1">
        <f t="shared" si="20"/>
        <v>72</v>
      </c>
    </row>
    <row r="12" spans="1:44">
      <c r="A12" s="42" t="e">
        <f t="shared" si="1"/>
        <v>#VALUE!</v>
      </c>
      <c r="B12" s="43" t="s">
        <v>26</v>
      </c>
      <c r="C12" s="43" t="s">
        <v>104</v>
      </c>
      <c r="D12" s="43" t="s">
        <v>105</v>
      </c>
      <c r="E12" s="43" t="s">
        <v>4</v>
      </c>
      <c r="F12" s="44">
        <v>12325</v>
      </c>
      <c r="G12" s="44">
        <v>3719.66666666667</v>
      </c>
      <c r="H12" s="44">
        <v>4877</v>
      </c>
      <c r="I12" s="44">
        <v>4047.33333333333</v>
      </c>
      <c r="J12" s="44">
        <v>9038</v>
      </c>
      <c r="K12" s="44">
        <v>576</v>
      </c>
      <c r="L12" s="44">
        <v>144</v>
      </c>
      <c r="M12" s="44">
        <v>1152</v>
      </c>
      <c r="N12" s="44">
        <v>0</v>
      </c>
      <c r="O12" s="44">
        <v>720</v>
      </c>
      <c r="P12" s="44">
        <v>144</v>
      </c>
      <c r="Q12" s="44">
        <v>45</v>
      </c>
      <c r="R12" s="44">
        <v>10766</v>
      </c>
      <c r="S12" s="44">
        <v>79.8006918135398</v>
      </c>
      <c r="T12" s="44">
        <f t="shared" si="2"/>
        <v>182</v>
      </c>
      <c r="U12" s="44">
        <f t="shared" si="3"/>
        <v>0</v>
      </c>
      <c r="V12" s="44">
        <f t="shared" si="21"/>
        <v>182</v>
      </c>
      <c r="W12" s="45">
        <f t="shared" si="4"/>
        <v>144</v>
      </c>
      <c r="X12" s="44">
        <f t="shared" si="5"/>
        <v>44.7183330588041</v>
      </c>
      <c r="Y12" s="46">
        <f t="shared" si="6"/>
        <v>1774800</v>
      </c>
      <c r="Z12" s="44">
        <f t="shared" si="7"/>
        <v>45844891.6666667</v>
      </c>
      <c r="AA12" s="44">
        <f t="shared" si="8"/>
        <v>60109025</v>
      </c>
      <c r="AB12" s="44">
        <f t="shared" si="9"/>
        <v>49883383.3333333</v>
      </c>
      <c r="AC12" s="44">
        <f t="shared" si="10"/>
        <v>0</v>
      </c>
      <c r="AD12" s="44">
        <f t="shared" si="11"/>
        <v>132690950</v>
      </c>
      <c r="AE12" s="44">
        <f>IFERROR(VLOOKUP(C12,#REF!,5,0),0)</f>
        <v>0</v>
      </c>
      <c r="AF12" s="44">
        <f t="shared" si="12"/>
        <v>0</v>
      </c>
      <c r="AG12" s="44">
        <f t="shared" si="13"/>
        <v>0</v>
      </c>
      <c r="AH12" s="44">
        <f t="shared" si="14"/>
        <v>0</v>
      </c>
      <c r="AI12" s="44">
        <f t="shared" si="15"/>
        <v>0</v>
      </c>
      <c r="AJ12" s="44">
        <f t="shared" si="16"/>
        <v>0</v>
      </c>
      <c r="AK12" s="44">
        <f t="shared" si="17"/>
        <v>0</v>
      </c>
      <c r="AL12" s="43" t="s">
        <v>41</v>
      </c>
      <c r="AM12" s="47">
        <f t="shared" si="18"/>
        <v>144</v>
      </c>
      <c r="AN12" s="43">
        <v>0</v>
      </c>
      <c r="AO12" s="43">
        <v>0</v>
      </c>
      <c r="AP12" s="48">
        <v>0</v>
      </c>
      <c r="AQ12" s="3">
        <f t="shared" si="19"/>
        <v>0</v>
      </c>
      <c r="AR12" s="1">
        <f t="shared" si="20"/>
        <v>144</v>
      </c>
    </row>
    <row r="13" spans="1:44">
      <c r="A13" s="42" t="e">
        <f t="shared" si="1"/>
        <v>#VALUE!</v>
      </c>
      <c r="B13" s="43" t="s">
        <v>26</v>
      </c>
      <c r="C13" s="43" t="s">
        <v>106</v>
      </c>
      <c r="D13" s="43" t="s">
        <v>107</v>
      </c>
      <c r="E13" s="43" t="s">
        <v>3</v>
      </c>
      <c r="F13" s="44">
        <v>13175</v>
      </c>
      <c r="G13" s="44">
        <v>27015.3333333335</v>
      </c>
      <c r="H13" s="44">
        <v>39368</v>
      </c>
      <c r="I13" s="44">
        <v>29708.6666666667</v>
      </c>
      <c r="J13" s="44">
        <v>64241</v>
      </c>
      <c r="K13" s="44">
        <v>5472</v>
      </c>
      <c r="L13" s="44">
        <v>432</v>
      </c>
      <c r="M13" s="44">
        <v>15408</v>
      </c>
      <c r="N13" s="44">
        <v>0</v>
      </c>
      <c r="O13" s="44">
        <v>2016</v>
      </c>
      <c r="P13" s="44">
        <v>144</v>
      </c>
      <c r="Q13" s="44">
        <v>45</v>
      </c>
      <c r="R13" s="44">
        <v>85121</v>
      </c>
      <c r="S13" s="44">
        <v>85.9557256019568</v>
      </c>
      <c r="T13" s="44">
        <f t="shared" si="2"/>
        <v>0</v>
      </c>
      <c r="U13" s="44">
        <f t="shared" si="3"/>
        <v>0</v>
      </c>
      <c r="V13" s="44">
        <f t="shared" si="21"/>
        <v>0</v>
      </c>
      <c r="W13" s="45">
        <f t="shared" si="4"/>
        <v>0</v>
      </c>
      <c r="X13" s="44">
        <f t="shared" si="5"/>
        <v>46.2016695464848</v>
      </c>
      <c r="Y13" s="46">
        <f t="shared" si="6"/>
        <v>0</v>
      </c>
      <c r="Z13" s="44">
        <f t="shared" si="7"/>
        <v>355927016.666669</v>
      </c>
      <c r="AA13" s="44">
        <f t="shared" si="8"/>
        <v>518673400</v>
      </c>
      <c r="AB13" s="44">
        <f t="shared" si="9"/>
        <v>391411683.333333</v>
      </c>
      <c r="AC13" s="44">
        <f t="shared" si="10"/>
        <v>0</v>
      </c>
      <c r="AD13" s="44">
        <f t="shared" si="11"/>
        <v>1121469175</v>
      </c>
      <c r="AE13" s="44">
        <f>IFERROR(VLOOKUP(C13,#REF!,5,0),0)</f>
        <v>0</v>
      </c>
      <c r="AF13" s="44">
        <f t="shared" si="12"/>
        <v>0</v>
      </c>
      <c r="AG13" s="44">
        <f t="shared" si="13"/>
        <v>0</v>
      </c>
      <c r="AH13" s="44">
        <f t="shared" si="14"/>
        <v>0</v>
      </c>
      <c r="AI13" s="44">
        <f t="shared" si="15"/>
        <v>0</v>
      </c>
      <c r="AJ13" s="44">
        <f t="shared" si="16"/>
        <v>0</v>
      </c>
      <c r="AK13" s="44">
        <f t="shared" si="17"/>
        <v>0</v>
      </c>
      <c r="AL13" s="43" t="s">
        <v>41</v>
      </c>
      <c r="AM13" s="47">
        <f t="shared" si="18"/>
        <v>0</v>
      </c>
      <c r="AN13" s="43">
        <v>0</v>
      </c>
      <c r="AO13" s="43">
        <v>0</v>
      </c>
      <c r="AP13" s="48">
        <v>0</v>
      </c>
      <c r="AQ13" s="3">
        <f t="shared" si="19"/>
        <v>0</v>
      </c>
      <c r="AR13" s="1">
        <f t="shared" si="20"/>
        <v>0</v>
      </c>
    </row>
    <row r="14" spans="1:44">
      <c r="A14" s="42" t="e">
        <f t="shared" si="1"/>
        <v>#VALUE!</v>
      </c>
      <c r="B14" s="43" t="s">
        <v>26</v>
      </c>
      <c r="C14" s="43" t="s">
        <v>108</v>
      </c>
      <c r="D14" s="43" t="s">
        <v>109</v>
      </c>
      <c r="E14" s="43" t="s">
        <v>3</v>
      </c>
      <c r="F14" s="44">
        <v>20825</v>
      </c>
      <c r="G14" s="44">
        <v>42030.0000000003</v>
      </c>
      <c r="H14" s="44">
        <v>51608</v>
      </c>
      <c r="I14" s="44">
        <v>45480.3333333333</v>
      </c>
      <c r="J14" s="44">
        <v>49137</v>
      </c>
      <c r="K14" s="44">
        <v>8304</v>
      </c>
      <c r="L14" s="44">
        <v>5712</v>
      </c>
      <c r="M14" s="44">
        <v>28320</v>
      </c>
      <c r="N14" s="44">
        <v>0</v>
      </c>
      <c r="O14" s="44">
        <v>16368</v>
      </c>
      <c r="P14" s="44">
        <v>48</v>
      </c>
      <c r="Q14" s="44">
        <v>45</v>
      </c>
      <c r="R14" s="44">
        <v>85761</v>
      </c>
      <c r="S14" s="44">
        <v>56.5701658592359</v>
      </c>
      <c r="T14" s="44">
        <f t="shared" si="2"/>
        <v>34067.5</v>
      </c>
      <c r="U14" s="44">
        <f t="shared" si="3"/>
        <v>0</v>
      </c>
      <c r="V14" s="44">
        <f t="shared" si="21"/>
        <v>34067.5</v>
      </c>
      <c r="W14" s="45">
        <f t="shared" si="4"/>
        <v>34080</v>
      </c>
      <c r="X14" s="44">
        <f t="shared" si="5"/>
        <v>45.0082453221539</v>
      </c>
      <c r="Y14" s="46">
        <f t="shared" si="6"/>
        <v>709716000</v>
      </c>
      <c r="Z14" s="44">
        <f t="shared" si="7"/>
        <v>875274750.000006</v>
      </c>
      <c r="AA14" s="44">
        <f t="shared" si="8"/>
        <v>1074736600</v>
      </c>
      <c r="AB14" s="44">
        <f t="shared" si="9"/>
        <v>947127941.666667</v>
      </c>
      <c r="AC14" s="44">
        <f t="shared" si="10"/>
        <v>0</v>
      </c>
      <c r="AD14" s="44">
        <f t="shared" si="11"/>
        <v>1785972825</v>
      </c>
      <c r="AE14" s="44">
        <f>IFERROR(VLOOKUP(C14,#REF!,5,0),0)</f>
        <v>0</v>
      </c>
      <c r="AF14" s="44">
        <f t="shared" si="12"/>
        <v>0</v>
      </c>
      <c r="AG14" s="44">
        <f t="shared" si="13"/>
        <v>0</v>
      </c>
      <c r="AH14" s="44">
        <f t="shared" si="14"/>
        <v>0</v>
      </c>
      <c r="AI14" s="44">
        <f t="shared" si="15"/>
        <v>0</v>
      </c>
      <c r="AJ14" s="44">
        <f t="shared" si="16"/>
        <v>0</v>
      </c>
      <c r="AK14" s="44">
        <f t="shared" si="17"/>
        <v>0</v>
      </c>
      <c r="AL14" s="43" t="s">
        <v>41</v>
      </c>
      <c r="AM14" s="47">
        <f t="shared" si="18"/>
        <v>34080</v>
      </c>
      <c r="AN14" s="43">
        <v>0</v>
      </c>
      <c r="AO14" s="43">
        <v>0</v>
      </c>
      <c r="AP14" s="48">
        <v>0</v>
      </c>
      <c r="AQ14" s="3">
        <f t="shared" si="19"/>
        <v>0</v>
      </c>
      <c r="AR14" s="1">
        <f t="shared" si="20"/>
        <v>34080</v>
      </c>
    </row>
    <row r="15" spans="1:44">
      <c r="A15" s="42" t="e">
        <f t="shared" si="1"/>
        <v>#VALUE!</v>
      </c>
      <c r="B15" s="43" t="s">
        <v>26</v>
      </c>
      <c r="C15" s="43" t="s">
        <v>110</v>
      </c>
      <c r="D15" s="43" t="s">
        <v>111</v>
      </c>
      <c r="E15" s="43" t="s">
        <v>5</v>
      </c>
      <c r="F15" s="44">
        <v>20825</v>
      </c>
      <c r="G15" s="44">
        <v>1182.33333333333</v>
      </c>
      <c r="H15" s="44">
        <v>1856</v>
      </c>
      <c r="I15" s="44">
        <v>1753</v>
      </c>
      <c r="J15" s="44">
        <v>6340</v>
      </c>
      <c r="K15" s="44">
        <v>816</v>
      </c>
      <c r="L15" s="44">
        <v>0</v>
      </c>
      <c r="M15" s="44">
        <v>0</v>
      </c>
      <c r="N15" s="44">
        <v>0</v>
      </c>
      <c r="O15" s="44">
        <v>1104</v>
      </c>
      <c r="P15" s="44">
        <v>48</v>
      </c>
      <c r="Q15" s="44">
        <v>45</v>
      </c>
      <c r="R15" s="44">
        <v>7156</v>
      </c>
      <c r="S15" s="44">
        <v>122.464346833999</v>
      </c>
      <c r="T15" s="44">
        <f t="shared" si="2"/>
        <v>0</v>
      </c>
      <c r="U15" s="44">
        <f t="shared" si="3"/>
        <v>1104</v>
      </c>
      <c r="V15" s="44">
        <f>U15</f>
        <v>1104</v>
      </c>
      <c r="W15" s="45">
        <f t="shared" si="4"/>
        <v>1104</v>
      </c>
      <c r="X15" s="44">
        <f t="shared" si="5"/>
        <v>109.594980034227</v>
      </c>
      <c r="Y15" s="46">
        <f t="shared" si="6"/>
        <v>22990800</v>
      </c>
      <c r="Z15" s="44">
        <f t="shared" si="7"/>
        <v>24622091.6666666</v>
      </c>
      <c r="AA15" s="44">
        <f t="shared" si="8"/>
        <v>38651200</v>
      </c>
      <c r="AB15" s="44">
        <f t="shared" si="9"/>
        <v>36506225</v>
      </c>
      <c r="AC15" s="44">
        <f t="shared" si="10"/>
        <v>0</v>
      </c>
      <c r="AD15" s="44">
        <f t="shared" si="11"/>
        <v>149023700</v>
      </c>
      <c r="AE15" s="44">
        <f>IFERROR(VLOOKUP(C15,#REF!,5,0),0)</f>
        <v>0</v>
      </c>
      <c r="AF15" s="44">
        <f t="shared" si="12"/>
        <v>0</v>
      </c>
      <c r="AG15" s="44">
        <f t="shared" si="13"/>
        <v>0</v>
      </c>
      <c r="AH15" s="44">
        <f t="shared" si="14"/>
        <v>0</v>
      </c>
      <c r="AI15" s="44">
        <f t="shared" si="15"/>
        <v>0</v>
      </c>
      <c r="AJ15" s="44">
        <f t="shared" si="16"/>
        <v>0</v>
      </c>
      <c r="AK15" s="44">
        <f t="shared" si="17"/>
        <v>0</v>
      </c>
      <c r="AL15" s="43" t="s">
        <v>41</v>
      </c>
      <c r="AM15" s="47">
        <f t="shared" si="18"/>
        <v>0</v>
      </c>
      <c r="AN15" s="43">
        <v>0</v>
      </c>
      <c r="AO15" s="43">
        <v>0</v>
      </c>
      <c r="AP15" s="48">
        <v>0</v>
      </c>
      <c r="AQ15" s="3">
        <f t="shared" si="19"/>
        <v>0</v>
      </c>
      <c r="AR15" s="1">
        <f t="shared" si="20"/>
        <v>1104</v>
      </c>
    </row>
    <row r="16" spans="1:44">
      <c r="A16" s="42" t="e">
        <f t="shared" si="1"/>
        <v>#VALUE!</v>
      </c>
      <c r="B16" s="43" t="s">
        <v>26</v>
      </c>
      <c r="C16" s="43" t="s">
        <v>112</v>
      </c>
      <c r="D16" s="43" t="s">
        <v>113</v>
      </c>
      <c r="E16" s="43" t="s">
        <v>5</v>
      </c>
      <c r="F16" s="44">
        <v>22015</v>
      </c>
      <c r="G16" s="44">
        <v>852.666666666666</v>
      </c>
      <c r="H16" s="44">
        <v>1308</v>
      </c>
      <c r="I16" s="44">
        <v>1240.66666666667</v>
      </c>
      <c r="J16" s="44">
        <v>6879</v>
      </c>
      <c r="K16" s="44">
        <v>0</v>
      </c>
      <c r="L16" s="44">
        <v>605</v>
      </c>
      <c r="M16" s="44">
        <v>0</v>
      </c>
      <c r="N16" s="44">
        <v>2904</v>
      </c>
      <c r="O16" s="44">
        <v>726</v>
      </c>
      <c r="P16" s="44">
        <v>121</v>
      </c>
      <c r="Q16" s="44">
        <v>45</v>
      </c>
      <c r="R16" s="44">
        <v>6879</v>
      </c>
      <c r="S16" s="44">
        <v>166.337990327781</v>
      </c>
      <c r="T16" s="44">
        <f t="shared" si="2"/>
        <v>0</v>
      </c>
      <c r="U16" s="44">
        <f t="shared" si="3"/>
        <v>0</v>
      </c>
      <c r="V16" s="44">
        <f t="shared" ref="V16:V27" si="22">IFERROR(IF(OR(I16&lt;=0,H16&lt;=0),0,IF(AND((J16+K16+M16+U16+N16-H16)/G16*30&lt;1.5*Q16,U16&gt;T16),U16,T16)),0)</f>
        <v>0</v>
      </c>
      <c r="W16" s="45">
        <f t="shared" si="4"/>
        <v>0</v>
      </c>
      <c r="X16" s="44">
        <f t="shared" si="5"/>
        <v>204.930145083289</v>
      </c>
      <c r="Y16" s="46">
        <f t="shared" si="6"/>
        <v>0</v>
      </c>
      <c r="Z16" s="44">
        <f t="shared" si="7"/>
        <v>18771456.6666666</v>
      </c>
      <c r="AA16" s="44">
        <f t="shared" si="8"/>
        <v>28795620</v>
      </c>
      <c r="AB16" s="44">
        <f t="shared" si="9"/>
        <v>27313276.6666667</v>
      </c>
      <c r="AC16" s="44">
        <f t="shared" si="10"/>
        <v>63931560</v>
      </c>
      <c r="AD16" s="44">
        <f t="shared" si="11"/>
        <v>151441185</v>
      </c>
      <c r="AE16" s="44">
        <f>IFERROR(VLOOKUP(C16,#REF!,5,0),0)</f>
        <v>0</v>
      </c>
      <c r="AF16" s="44">
        <f t="shared" si="12"/>
        <v>0</v>
      </c>
      <c r="AG16" s="44">
        <f t="shared" si="13"/>
        <v>0</v>
      </c>
      <c r="AH16" s="44">
        <f t="shared" si="14"/>
        <v>0</v>
      </c>
      <c r="AI16" s="44">
        <f t="shared" si="15"/>
        <v>0</v>
      </c>
      <c r="AJ16" s="44">
        <f t="shared" si="16"/>
        <v>0</v>
      </c>
      <c r="AK16" s="44">
        <f t="shared" si="17"/>
        <v>0</v>
      </c>
      <c r="AL16" s="43" t="s">
        <v>41</v>
      </c>
      <c r="AM16" s="47">
        <f t="shared" si="18"/>
        <v>0</v>
      </c>
      <c r="AN16" s="43">
        <v>0</v>
      </c>
      <c r="AO16" s="43">
        <v>0</v>
      </c>
      <c r="AP16" s="48">
        <v>0</v>
      </c>
      <c r="AQ16" s="3">
        <f t="shared" si="19"/>
        <v>0</v>
      </c>
      <c r="AR16" s="1">
        <f t="shared" si="20"/>
        <v>0</v>
      </c>
    </row>
    <row r="17" spans="1:44">
      <c r="A17" s="42" t="e">
        <f t="shared" si="1"/>
        <v>#VALUE!</v>
      </c>
      <c r="B17" s="43" t="s">
        <v>26</v>
      </c>
      <c r="C17" s="43" t="s">
        <v>114</v>
      </c>
      <c r="D17" s="43" t="s">
        <v>115</v>
      </c>
      <c r="E17" s="43" t="s">
        <v>3</v>
      </c>
      <c r="F17" s="44">
        <v>9826</v>
      </c>
      <c r="G17" s="44">
        <v>524403.333333333</v>
      </c>
      <c r="H17" s="44">
        <v>842000</v>
      </c>
      <c r="I17" s="44">
        <v>600213</v>
      </c>
      <c r="J17" s="44">
        <v>846731</v>
      </c>
      <c r="K17" s="44">
        <v>175392</v>
      </c>
      <c r="L17" s="44">
        <v>5760</v>
      </c>
      <c r="M17" s="44">
        <v>15264</v>
      </c>
      <c r="N17" s="44">
        <v>0</v>
      </c>
      <c r="O17" s="44">
        <v>342000</v>
      </c>
      <c r="P17" s="44">
        <v>144</v>
      </c>
      <c r="Q17" s="44">
        <v>55</v>
      </c>
      <c r="R17" s="44">
        <v>1037387</v>
      </c>
      <c r="S17" s="44">
        <v>51.8509429152651</v>
      </c>
      <c r="T17" s="44">
        <f t="shared" si="2"/>
        <v>905003.5</v>
      </c>
      <c r="U17" s="44">
        <f t="shared" si="3"/>
        <v>332496</v>
      </c>
      <c r="V17" s="44">
        <f t="shared" si="22"/>
        <v>905003.5</v>
      </c>
      <c r="W17" s="45">
        <f t="shared" si="4"/>
        <v>905040</v>
      </c>
      <c r="X17" s="44">
        <f t="shared" si="5"/>
        <v>55.0018243523549</v>
      </c>
      <c r="Y17" s="46">
        <f t="shared" si="6"/>
        <v>8892923040</v>
      </c>
      <c r="Z17" s="44">
        <f t="shared" si="7"/>
        <v>5152787153.33333</v>
      </c>
      <c r="AA17" s="44">
        <f t="shared" si="8"/>
        <v>8273492000</v>
      </c>
      <c r="AB17" s="44">
        <f t="shared" si="9"/>
        <v>5897692938</v>
      </c>
      <c r="AC17" s="44">
        <f t="shared" si="10"/>
        <v>0</v>
      </c>
      <c r="AD17" s="44">
        <f t="shared" si="11"/>
        <v>10193364662</v>
      </c>
      <c r="AE17" s="44">
        <f>IFERROR(VLOOKUP(C17,#REF!,5,0),0)</f>
        <v>0</v>
      </c>
      <c r="AF17" s="44">
        <f t="shared" si="12"/>
        <v>0</v>
      </c>
      <c r="AG17" s="44">
        <f t="shared" si="13"/>
        <v>0</v>
      </c>
      <c r="AH17" s="44">
        <f t="shared" si="14"/>
        <v>0</v>
      </c>
      <c r="AI17" s="44">
        <f t="shared" si="15"/>
        <v>0</v>
      </c>
      <c r="AJ17" s="44">
        <f t="shared" si="16"/>
        <v>0</v>
      </c>
      <c r="AK17" s="44">
        <f t="shared" si="17"/>
        <v>0</v>
      </c>
      <c r="AL17" s="43" t="s">
        <v>42</v>
      </c>
      <c r="AM17" s="47">
        <f t="shared" si="18"/>
        <v>572544</v>
      </c>
      <c r="AN17" s="43">
        <v>157392</v>
      </c>
      <c r="AO17" s="43">
        <v>242928</v>
      </c>
      <c r="AP17" s="48">
        <v>328176</v>
      </c>
      <c r="AQ17" s="3">
        <v>242928</v>
      </c>
      <c r="AR17" s="1">
        <f t="shared" si="20"/>
        <v>662112</v>
      </c>
    </row>
    <row r="18" spans="1:44">
      <c r="A18" s="42" t="e">
        <f t="shared" si="1"/>
        <v>#VALUE!</v>
      </c>
      <c r="B18" s="43" t="s">
        <v>26</v>
      </c>
      <c r="C18" s="43" t="s">
        <v>116</v>
      </c>
      <c r="D18" s="43" t="s">
        <v>117</v>
      </c>
      <c r="E18" s="43" t="s">
        <v>3</v>
      </c>
      <c r="F18" s="44">
        <v>9826</v>
      </c>
      <c r="G18" s="44">
        <v>641991</v>
      </c>
      <c r="H18" s="44">
        <v>1004748</v>
      </c>
      <c r="I18" s="44">
        <v>725066.333333333</v>
      </c>
      <c r="J18" s="44">
        <v>1182976</v>
      </c>
      <c r="K18" s="44">
        <v>219456</v>
      </c>
      <c r="L18" s="44">
        <v>48240</v>
      </c>
      <c r="M18" s="44">
        <v>256896</v>
      </c>
      <c r="N18" s="44">
        <v>0</v>
      </c>
      <c r="O18" s="44">
        <v>202032</v>
      </c>
      <c r="P18" s="44">
        <v>144</v>
      </c>
      <c r="Q18" s="44">
        <v>55</v>
      </c>
      <c r="R18" s="44">
        <v>1659328</v>
      </c>
      <c r="S18" s="44">
        <v>68.6555666860825</v>
      </c>
      <c r="T18" s="44">
        <f t="shared" si="2"/>
        <v>674708.277777778</v>
      </c>
      <c r="U18" s="44">
        <f t="shared" si="3"/>
        <v>0</v>
      </c>
      <c r="V18" s="44">
        <f t="shared" si="22"/>
        <v>674708.277777778</v>
      </c>
      <c r="W18" s="45">
        <f t="shared" si="4"/>
        <v>674640</v>
      </c>
      <c r="X18" s="44">
        <f t="shared" si="5"/>
        <v>54.9971749711176</v>
      </c>
      <c r="Y18" s="46">
        <f t="shared" si="6"/>
        <v>6629012640</v>
      </c>
      <c r="Z18" s="44">
        <f t="shared" si="7"/>
        <v>6308203566</v>
      </c>
      <c r="AA18" s="44">
        <f t="shared" si="8"/>
        <v>9872653848</v>
      </c>
      <c r="AB18" s="44">
        <f t="shared" si="9"/>
        <v>7124501791.33333</v>
      </c>
      <c r="AC18" s="44">
        <f t="shared" si="10"/>
        <v>0</v>
      </c>
      <c r="AD18" s="44">
        <f t="shared" si="11"/>
        <v>16304556928</v>
      </c>
      <c r="AE18" s="44">
        <f>IFERROR(VLOOKUP(C18,#REF!,5,0),0)</f>
        <v>0</v>
      </c>
      <c r="AF18" s="44">
        <f t="shared" si="12"/>
        <v>0</v>
      </c>
      <c r="AG18" s="44">
        <f t="shared" si="13"/>
        <v>0</v>
      </c>
      <c r="AH18" s="44">
        <f t="shared" si="14"/>
        <v>0</v>
      </c>
      <c r="AI18" s="44">
        <f t="shared" si="15"/>
        <v>0</v>
      </c>
      <c r="AJ18" s="44">
        <f t="shared" si="16"/>
        <v>0</v>
      </c>
      <c r="AK18" s="44">
        <f t="shared" si="17"/>
        <v>0</v>
      </c>
      <c r="AL18" s="43" t="s">
        <v>42</v>
      </c>
      <c r="AM18" s="47">
        <f t="shared" si="18"/>
        <v>674640</v>
      </c>
      <c r="AN18" s="43">
        <v>0</v>
      </c>
      <c r="AO18" s="43">
        <v>0</v>
      </c>
      <c r="AP18" s="48">
        <v>0</v>
      </c>
      <c r="AQ18" s="3">
        <v>0</v>
      </c>
      <c r="AR18" s="1">
        <f t="shared" si="20"/>
        <v>674640</v>
      </c>
    </row>
    <row r="19" spans="1:44">
      <c r="A19" s="42" t="e">
        <f t="shared" si="1"/>
        <v>#VALUE!</v>
      </c>
      <c r="B19" s="43" t="s">
        <v>26</v>
      </c>
      <c r="C19" s="43" t="s">
        <v>118</v>
      </c>
      <c r="D19" s="43" t="s">
        <v>119</v>
      </c>
      <c r="E19" s="43" t="s">
        <v>3</v>
      </c>
      <c r="F19" s="44">
        <v>12920</v>
      </c>
      <c r="G19" s="44">
        <v>615159.333333333</v>
      </c>
      <c r="H19" s="44">
        <v>804296</v>
      </c>
      <c r="I19" s="44">
        <v>705065</v>
      </c>
      <c r="J19" s="44">
        <v>794707</v>
      </c>
      <c r="K19" s="44">
        <v>83232</v>
      </c>
      <c r="L19" s="44">
        <v>0</v>
      </c>
      <c r="M19" s="44">
        <v>27216</v>
      </c>
      <c r="N19" s="44">
        <v>0</v>
      </c>
      <c r="O19" s="44">
        <v>477216</v>
      </c>
      <c r="P19" s="44">
        <v>144</v>
      </c>
      <c r="Q19" s="44">
        <v>55</v>
      </c>
      <c r="R19" s="44">
        <v>905155</v>
      </c>
      <c r="S19" s="44">
        <v>38.5136831355974</v>
      </c>
      <c r="T19" s="44">
        <f t="shared" si="2"/>
        <v>1191760.16666667</v>
      </c>
      <c r="U19" s="44">
        <f t="shared" si="3"/>
        <v>450000</v>
      </c>
      <c r="V19" s="44">
        <f t="shared" si="22"/>
        <v>1191760.16666667</v>
      </c>
      <c r="W19" s="45">
        <f t="shared" si="4"/>
        <v>1191744</v>
      </c>
      <c r="X19" s="44">
        <f t="shared" si="5"/>
        <v>54.9993121201591</v>
      </c>
      <c r="Y19" s="46">
        <f t="shared" si="6"/>
        <v>15397332480</v>
      </c>
      <c r="Z19" s="44">
        <f t="shared" si="7"/>
        <v>7947858586.66666</v>
      </c>
      <c r="AA19" s="44">
        <f t="shared" si="8"/>
        <v>10391504320</v>
      </c>
      <c r="AB19" s="44">
        <f t="shared" si="9"/>
        <v>9109439800</v>
      </c>
      <c r="AC19" s="44">
        <f t="shared" si="10"/>
        <v>0</v>
      </c>
      <c r="AD19" s="44">
        <f t="shared" si="11"/>
        <v>11694602600</v>
      </c>
      <c r="AE19" s="44">
        <f>IFERROR(VLOOKUP(C19,#REF!,5,0),0)</f>
        <v>0</v>
      </c>
      <c r="AF19" s="44">
        <f t="shared" si="12"/>
        <v>0</v>
      </c>
      <c r="AG19" s="44">
        <f t="shared" si="13"/>
        <v>0</v>
      </c>
      <c r="AH19" s="44">
        <f t="shared" si="14"/>
        <v>0</v>
      </c>
      <c r="AI19" s="44">
        <f t="shared" si="15"/>
        <v>0</v>
      </c>
      <c r="AJ19" s="44">
        <f t="shared" si="16"/>
        <v>0</v>
      </c>
      <c r="AK19" s="44">
        <f t="shared" si="17"/>
        <v>0</v>
      </c>
      <c r="AL19" s="43" t="s">
        <v>42</v>
      </c>
      <c r="AM19" s="47">
        <f t="shared" si="18"/>
        <v>741744</v>
      </c>
      <c r="AN19" s="43">
        <v>213408</v>
      </c>
      <c r="AO19" s="43">
        <v>332784</v>
      </c>
      <c r="AP19" s="48">
        <v>452160</v>
      </c>
      <c r="AQ19" s="3">
        <v>332784</v>
      </c>
      <c r="AR19" s="1">
        <f t="shared" si="20"/>
        <v>858960</v>
      </c>
    </row>
    <row r="20" spans="1:44">
      <c r="A20" s="42" t="e">
        <f t="shared" si="1"/>
        <v>#VALUE!</v>
      </c>
      <c r="B20" s="43" t="s">
        <v>26</v>
      </c>
      <c r="C20" s="43" t="s">
        <v>120</v>
      </c>
      <c r="D20" s="43" t="s">
        <v>121</v>
      </c>
      <c r="E20" s="43" t="s">
        <v>5</v>
      </c>
      <c r="F20" s="44">
        <v>9826</v>
      </c>
      <c r="G20" s="44">
        <v>589407.666666664</v>
      </c>
      <c r="H20" s="44">
        <v>827000</v>
      </c>
      <c r="I20" s="44">
        <v>627508.333333333</v>
      </c>
      <c r="J20" s="44">
        <v>1300</v>
      </c>
      <c r="K20" s="44">
        <v>128016</v>
      </c>
      <c r="L20" s="44">
        <v>33120</v>
      </c>
      <c r="M20" s="44">
        <v>0</v>
      </c>
      <c r="N20" s="44">
        <v>0</v>
      </c>
      <c r="O20" s="44">
        <v>180720</v>
      </c>
      <c r="P20" s="44">
        <v>144</v>
      </c>
      <c r="Q20" s="44">
        <v>55</v>
      </c>
      <c r="R20" s="44">
        <v>129316</v>
      </c>
      <c r="S20" s="44">
        <v>6.18235614400871</v>
      </c>
      <c r="T20" s="44">
        <f t="shared" si="2"/>
        <v>1848115.94444444</v>
      </c>
      <c r="U20" s="44">
        <f t="shared" si="3"/>
        <v>213840</v>
      </c>
      <c r="V20" s="44">
        <f t="shared" si="22"/>
        <v>1848115.94444444</v>
      </c>
      <c r="W20" s="45">
        <f t="shared" si="4"/>
        <v>1848096</v>
      </c>
      <c r="X20" s="44">
        <f t="shared" si="5"/>
        <v>54.9990464934065</v>
      </c>
      <c r="Y20" s="46">
        <f t="shared" si="6"/>
        <v>18159391296</v>
      </c>
      <c r="Z20" s="44">
        <f t="shared" si="7"/>
        <v>5791519732.66664</v>
      </c>
      <c r="AA20" s="44">
        <f t="shared" si="8"/>
        <v>8126102000</v>
      </c>
      <c r="AB20" s="44">
        <f t="shared" si="9"/>
        <v>6165896883.33333</v>
      </c>
      <c r="AC20" s="44">
        <f t="shared" si="10"/>
        <v>0</v>
      </c>
      <c r="AD20" s="44">
        <f t="shared" si="11"/>
        <v>1270659016</v>
      </c>
      <c r="AE20" s="44">
        <f>IFERROR(VLOOKUP(C20,#REF!,5,0),0)</f>
        <v>0</v>
      </c>
      <c r="AF20" s="44">
        <f t="shared" si="12"/>
        <v>0</v>
      </c>
      <c r="AG20" s="44">
        <f t="shared" si="13"/>
        <v>0</v>
      </c>
      <c r="AH20" s="44">
        <f t="shared" si="14"/>
        <v>0</v>
      </c>
      <c r="AI20" s="44">
        <f t="shared" si="15"/>
        <v>0</v>
      </c>
      <c r="AJ20" s="44">
        <f t="shared" si="16"/>
        <v>0</v>
      </c>
      <c r="AK20" s="44">
        <f t="shared" si="17"/>
        <v>0</v>
      </c>
      <c r="AL20" s="43" t="s">
        <v>42</v>
      </c>
      <c r="AM20" s="47">
        <f t="shared" si="18"/>
        <v>1634256</v>
      </c>
      <c r="AN20" s="43">
        <v>0</v>
      </c>
      <c r="AO20" s="43">
        <v>0</v>
      </c>
      <c r="AP20" s="48">
        <v>0</v>
      </c>
      <c r="AQ20" s="3">
        <v>0</v>
      </c>
      <c r="AR20" s="1">
        <f t="shared" si="20"/>
        <v>1848096</v>
      </c>
    </row>
    <row r="21" spans="1:44">
      <c r="A21" s="42" t="e">
        <f t="shared" si="1"/>
        <v>#VALUE!</v>
      </c>
      <c r="B21" s="43" t="s">
        <v>26</v>
      </c>
      <c r="C21" s="43" t="s">
        <v>122</v>
      </c>
      <c r="D21" s="43" t="s">
        <v>123</v>
      </c>
      <c r="E21" s="43" t="s">
        <v>3</v>
      </c>
      <c r="F21" s="44">
        <v>9826</v>
      </c>
      <c r="G21" s="44">
        <v>233564.000000001</v>
      </c>
      <c r="H21" s="44">
        <v>375068</v>
      </c>
      <c r="I21" s="44">
        <v>268473</v>
      </c>
      <c r="J21" s="44">
        <v>494988</v>
      </c>
      <c r="K21" s="44">
        <v>34992</v>
      </c>
      <c r="L21" s="44">
        <v>5472</v>
      </c>
      <c r="M21" s="44">
        <v>31104</v>
      </c>
      <c r="N21" s="44">
        <v>0</v>
      </c>
      <c r="O21" s="44">
        <v>96192</v>
      </c>
      <c r="P21" s="44">
        <v>144</v>
      </c>
      <c r="Q21" s="44">
        <v>55</v>
      </c>
      <c r="R21" s="44">
        <v>561084</v>
      </c>
      <c r="S21" s="44">
        <v>62.6972544725168</v>
      </c>
      <c r="T21" s="44">
        <f t="shared" si="2"/>
        <v>306184.5</v>
      </c>
      <c r="U21" s="44">
        <f t="shared" si="3"/>
        <v>70560</v>
      </c>
      <c r="V21" s="44">
        <f t="shared" si="22"/>
        <v>306184.5</v>
      </c>
      <c r="W21" s="45">
        <f t="shared" si="4"/>
        <v>306144</v>
      </c>
      <c r="X21" s="44">
        <f t="shared" si="5"/>
        <v>54.9954744052475</v>
      </c>
      <c r="Y21" s="46">
        <f t="shared" si="6"/>
        <v>3008170944</v>
      </c>
      <c r="Z21" s="44">
        <f t="shared" si="7"/>
        <v>2294999864.00001</v>
      </c>
      <c r="AA21" s="44">
        <f t="shared" si="8"/>
        <v>3685418168</v>
      </c>
      <c r="AB21" s="44">
        <f t="shared" si="9"/>
        <v>2638015698</v>
      </c>
      <c r="AC21" s="44">
        <f t="shared" si="10"/>
        <v>0</v>
      </c>
      <c r="AD21" s="44">
        <f t="shared" si="11"/>
        <v>5513211384</v>
      </c>
      <c r="AE21" s="44">
        <f>IFERROR(VLOOKUP(C21,#REF!,5,0),0)</f>
        <v>0</v>
      </c>
      <c r="AF21" s="44">
        <f t="shared" si="12"/>
        <v>0</v>
      </c>
      <c r="AG21" s="44">
        <f t="shared" si="13"/>
        <v>0</v>
      </c>
      <c r="AH21" s="44">
        <f t="shared" si="14"/>
        <v>0</v>
      </c>
      <c r="AI21" s="44">
        <f t="shared" si="15"/>
        <v>0</v>
      </c>
      <c r="AJ21" s="44">
        <f t="shared" si="16"/>
        <v>0</v>
      </c>
      <c r="AK21" s="44">
        <f t="shared" si="17"/>
        <v>0</v>
      </c>
      <c r="AL21" s="43" t="s">
        <v>42</v>
      </c>
      <c r="AM21" s="47">
        <f t="shared" si="18"/>
        <v>235584</v>
      </c>
      <c r="AN21" s="43">
        <v>18576</v>
      </c>
      <c r="AO21" s="43">
        <v>42336</v>
      </c>
      <c r="AP21" s="48">
        <v>66672</v>
      </c>
      <c r="AQ21" s="3">
        <v>42336</v>
      </c>
      <c r="AR21" s="1">
        <f t="shared" si="20"/>
        <v>263808</v>
      </c>
    </row>
    <row r="22" spans="1:44">
      <c r="A22" s="42" t="e">
        <f t="shared" si="1"/>
        <v>#VALUE!</v>
      </c>
      <c r="B22" s="43" t="s">
        <v>26</v>
      </c>
      <c r="C22" s="43" t="s">
        <v>124</v>
      </c>
      <c r="D22" s="43" t="s">
        <v>125</v>
      </c>
      <c r="E22" s="43" t="s">
        <v>3</v>
      </c>
      <c r="F22" s="44">
        <v>9826</v>
      </c>
      <c r="G22" s="44">
        <v>350742.333333333</v>
      </c>
      <c r="H22" s="44">
        <v>547464</v>
      </c>
      <c r="I22" s="44">
        <v>374378.333333333</v>
      </c>
      <c r="J22" s="44">
        <v>757018</v>
      </c>
      <c r="K22" s="44">
        <v>98352</v>
      </c>
      <c r="L22" s="44">
        <v>9216</v>
      </c>
      <c r="M22" s="44">
        <v>13248</v>
      </c>
      <c r="N22" s="44">
        <v>0</v>
      </c>
      <c r="O22" s="44">
        <v>73728</v>
      </c>
      <c r="P22" s="44">
        <v>144</v>
      </c>
      <c r="Q22" s="44">
        <v>55</v>
      </c>
      <c r="R22" s="44">
        <v>868618</v>
      </c>
      <c r="S22" s="44">
        <v>69.6048293393047</v>
      </c>
      <c r="T22" s="44">
        <f t="shared" si="2"/>
        <v>365206.277777778</v>
      </c>
      <c r="U22" s="44">
        <f t="shared" si="3"/>
        <v>69696</v>
      </c>
      <c r="V22" s="44">
        <f t="shared" si="22"/>
        <v>365206.277777778</v>
      </c>
      <c r="W22" s="45">
        <f t="shared" si="4"/>
        <v>365184</v>
      </c>
      <c r="X22" s="44">
        <f t="shared" si="5"/>
        <v>54.9982148183433</v>
      </c>
      <c r="Y22" s="46">
        <f t="shared" si="6"/>
        <v>3588297984</v>
      </c>
      <c r="Z22" s="44">
        <f t="shared" si="7"/>
        <v>3446394167.33333</v>
      </c>
      <c r="AA22" s="44">
        <f t="shared" si="8"/>
        <v>5379381264</v>
      </c>
      <c r="AB22" s="44">
        <f t="shared" si="9"/>
        <v>3678641503.33333</v>
      </c>
      <c r="AC22" s="44">
        <f t="shared" si="10"/>
        <v>0</v>
      </c>
      <c r="AD22" s="44">
        <f t="shared" si="11"/>
        <v>8535040468</v>
      </c>
      <c r="AE22" s="44">
        <f>IFERROR(VLOOKUP(C22,#REF!,5,0),0)</f>
        <v>0</v>
      </c>
      <c r="AF22" s="44">
        <f t="shared" si="12"/>
        <v>0</v>
      </c>
      <c r="AG22" s="44">
        <f t="shared" si="13"/>
        <v>0</v>
      </c>
      <c r="AH22" s="44">
        <f t="shared" si="14"/>
        <v>0</v>
      </c>
      <c r="AI22" s="44">
        <f t="shared" si="15"/>
        <v>0</v>
      </c>
      <c r="AJ22" s="44">
        <f t="shared" si="16"/>
        <v>0</v>
      </c>
      <c r="AK22" s="44">
        <f t="shared" si="17"/>
        <v>0</v>
      </c>
      <c r="AL22" s="43" t="s">
        <v>42</v>
      </c>
      <c r="AM22" s="47">
        <f t="shared" si="18"/>
        <v>295488</v>
      </c>
      <c r="AN22" s="43">
        <v>24480</v>
      </c>
      <c r="AO22" s="43">
        <v>42912</v>
      </c>
      <c r="AP22" s="48">
        <v>61488</v>
      </c>
      <c r="AQ22" s="3">
        <v>42912</v>
      </c>
      <c r="AR22" s="1">
        <f t="shared" si="20"/>
        <v>322272</v>
      </c>
    </row>
    <row r="23" spans="1:44">
      <c r="A23" s="42" t="e">
        <f t="shared" si="1"/>
        <v>#VALUE!</v>
      </c>
      <c r="B23" s="43" t="s">
        <v>26</v>
      </c>
      <c r="C23" s="43" t="s">
        <v>126</v>
      </c>
      <c r="D23" s="43" t="s">
        <v>127</v>
      </c>
      <c r="E23" s="43" t="s">
        <v>5</v>
      </c>
      <c r="F23" s="44">
        <v>9826</v>
      </c>
      <c r="G23" s="44">
        <v>742584.333333334</v>
      </c>
      <c r="H23" s="44">
        <v>1173000</v>
      </c>
      <c r="I23" s="44">
        <v>877726.666666667</v>
      </c>
      <c r="J23" s="44">
        <v>1378497</v>
      </c>
      <c r="K23" s="44">
        <v>249840</v>
      </c>
      <c r="L23" s="44">
        <v>51120</v>
      </c>
      <c r="M23" s="44">
        <v>51168</v>
      </c>
      <c r="N23" s="44">
        <v>0</v>
      </c>
      <c r="O23" s="44">
        <v>319392</v>
      </c>
      <c r="P23" s="44">
        <v>144</v>
      </c>
      <c r="Q23" s="44">
        <v>55</v>
      </c>
      <c r="R23" s="44">
        <v>1679505</v>
      </c>
      <c r="S23" s="44">
        <v>57.4041463173805</v>
      </c>
      <c r="T23" s="44">
        <f t="shared" si="2"/>
        <v>1102660.55555556</v>
      </c>
      <c r="U23" s="44">
        <f t="shared" si="3"/>
        <v>319344</v>
      </c>
      <c r="V23" s="44">
        <f t="shared" si="22"/>
        <v>1102660.55555556</v>
      </c>
      <c r="W23" s="45">
        <f t="shared" si="4"/>
        <v>1102608</v>
      </c>
      <c r="X23" s="44">
        <f t="shared" si="5"/>
        <v>54.9982036928733</v>
      </c>
      <c r="Y23" s="46">
        <f t="shared" si="6"/>
        <v>10834226208</v>
      </c>
      <c r="Z23" s="44">
        <f t="shared" si="7"/>
        <v>7296633659.33334</v>
      </c>
      <c r="AA23" s="44">
        <f t="shared" si="8"/>
        <v>11525898000</v>
      </c>
      <c r="AB23" s="44">
        <f t="shared" si="9"/>
        <v>8624542226.66667</v>
      </c>
      <c r="AC23" s="44">
        <f t="shared" si="10"/>
        <v>0</v>
      </c>
      <c r="AD23" s="44">
        <f t="shared" si="11"/>
        <v>16502816130</v>
      </c>
      <c r="AE23" s="44">
        <f>IFERROR(VLOOKUP(C23,#REF!,5,0),0)</f>
        <v>0</v>
      </c>
      <c r="AF23" s="44">
        <f t="shared" si="12"/>
        <v>0</v>
      </c>
      <c r="AG23" s="44">
        <f t="shared" si="13"/>
        <v>0</v>
      </c>
      <c r="AH23" s="44">
        <f t="shared" si="14"/>
        <v>0</v>
      </c>
      <c r="AI23" s="44">
        <f t="shared" si="15"/>
        <v>0</v>
      </c>
      <c r="AJ23" s="44">
        <f t="shared" si="16"/>
        <v>0</v>
      </c>
      <c r="AK23" s="44">
        <f t="shared" si="17"/>
        <v>0</v>
      </c>
      <c r="AL23" s="43" t="s">
        <v>42</v>
      </c>
      <c r="AM23" s="47">
        <f t="shared" si="18"/>
        <v>783264</v>
      </c>
      <c r="AN23" s="43">
        <v>109824</v>
      </c>
      <c r="AO23" s="43">
        <v>190176</v>
      </c>
      <c r="AP23" s="48">
        <v>269808</v>
      </c>
      <c r="AQ23" s="3">
        <v>190224</v>
      </c>
      <c r="AR23" s="1">
        <f t="shared" si="20"/>
        <v>912384</v>
      </c>
    </row>
    <row r="24" spans="1:44">
      <c r="A24" s="42" t="e">
        <f t="shared" si="1"/>
        <v>#VALUE!</v>
      </c>
      <c r="B24" s="43" t="s">
        <v>26</v>
      </c>
      <c r="C24" s="43" t="s">
        <v>128</v>
      </c>
      <c r="D24" s="43" t="s">
        <v>129</v>
      </c>
      <c r="E24" s="43" t="s">
        <v>5</v>
      </c>
      <c r="F24" s="44">
        <v>39304</v>
      </c>
      <c r="G24" s="44">
        <v>6984</v>
      </c>
      <c r="H24" s="44">
        <v>15400</v>
      </c>
      <c r="I24" s="44">
        <v>10085.3333333333</v>
      </c>
      <c r="J24" s="44">
        <v>0</v>
      </c>
      <c r="K24" s="44">
        <v>0</v>
      </c>
      <c r="L24" s="44">
        <v>0</v>
      </c>
      <c r="M24" s="44">
        <v>0</v>
      </c>
      <c r="N24" s="44">
        <v>0</v>
      </c>
      <c r="O24" s="44">
        <v>2976</v>
      </c>
      <c r="P24" s="44">
        <v>24</v>
      </c>
      <c r="Q24" s="44">
        <v>55</v>
      </c>
      <c r="R24" s="44">
        <v>0</v>
      </c>
      <c r="S24" s="44">
        <v>0</v>
      </c>
      <c r="T24" s="44">
        <f t="shared" si="2"/>
        <v>33889.7777777778</v>
      </c>
      <c r="U24" s="44">
        <f t="shared" si="3"/>
        <v>2976</v>
      </c>
      <c r="V24" s="44">
        <f t="shared" si="22"/>
        <v>33889.7777777778</v>
      </c>
      <c r="W24" s="45">
        <f t="shared" si="4"/>
        <v>33888</v>
      </c>
      <c r="X24" s="44">
        <f t="shared" si="5"/>
        <v>54.9947117927023</v>
      </c>
      <c r="Y24" s="46">
        <f t="shared" si="6"/>
        <v>1331933952</v>
      </c>
      <c r="Z24" s="44">
        <f t="shared" si="7"/>
        <v>274499136</v>
      </c>
      <c r="AA24" s="44">
        <f t="shared" si="8"/>
        <v>605281600</v>
      </c>
      <c r="AB24" s="44">
        <f t="shared" si="9"/>
        <v>396393941.333333</v>
      </c>
      <c r="AC24" s="44">
        <f t="shared" si="10"/>
        <v>0</v>
      </c>
      <c r="AD24" s="44">
        <f t="shared" si="11"/>
        <v>0</v>
      </c>
      <c r="AE24" s="44">
        <f>IFERROR(VLOOKUP(C24,#REF!,5,0),0)</f>
        <v>0</v>
      </c>
      <c r="AF24" s="44">
        <f t="shared" si="12"/>
        <v>0</v>
      </c>
      <c r="AG24" s="44">
        <f t="shared" si="13"/>
        <v>0</v>
      </c>
      <c r="AH24" s="44">
        <f t="shared" si="14"/>
        <v>0</v>
      </c>
      <c r="AI24" s="44">
        <f t="shared" si="15"/>
        <v>0</v>
      </c>
      <c r="AJ24" s="44">
        <f t="shared" si="16"/>
        <v>0</v>
      </c>
      <c r="AK24" s="44">
        <f t="shared" si="17"/>
        <v>0</v>
      </c>
      <c r="AL24" s="43" t="s">
        <v>42</v>
      </c>
      <c r="AM24" s="47">
        <f t="shared" si="18"/>
        <v>30912</v>
      </c>
      <c r="AN24" s="43">
        <v>0</v>
      </c>
      <c r="AO24" s="43">
        <v>0</v>
      </c>
      <c r="AP24" s="48">
        <v>0</v>
      </c>
      <c r="AQ24" s="3">
        <v>0</v>
      </c>
      <c r="AR24" s="1">
        <f t="shared" si="20"/>
        <v>33888</v>
      </c>
    </row>
    <row r="25" spans="1:44">
      <c r="A25" s="42" t="e">
        <f t="shared" si="1"/>
        <v>#VALUE!</v>
      </c>
      <c r="B25" s="43" t="s">
        <v>26</v>
      </c>
      <c r="C25" s="43" t="s">
        <v>130</v>
      </c>
      <c r="D25" s="43" t="s">
        <v>131</v>
      </c>
      <c r="E25" s="43" t="s">
        <v>3</v>
      </c>
      <c r="F25" s="44">
        <v>9826</v>
      </c>
      <c r="G25" s="44">
        <v>110325.333333334</v>
      </c>
      <c r="H25" s="44">
        <v>180608</v>
      </c>
      <c r="I25" s="44">
        <v>137520</v>
      </c>
      <c r="J25" s="44">
        <v>180448</v>
      </c>
      <c r="K25" s="44">
        <v>18576</v>
      </c>
      <c r="L25" s="44">
        <v>3888</v>
      </c>
      <c r="M25" s="44">
        <v>10944</v>
      </c>
      <c r="N25" s="44">
        <v>0</v>
      </c>
      <c r="O25" s="44">
        <v>100800</v>
      </c>
      <c r="P25" s="44">
        <v>144</v>
      </c>
      <c r="Q25" s="44">
        <v>55</v>
      </c>
      <c r="R25" s="44">
        <v>209968</v>
      </c>
      <c r="S25" s="44">
        <v>45.804537521815</v>
      </c>
      <c r="T25" s="44">
        <f t="shared" si="2"/>
        <v>222760</v>
      </c>
      <c r="U25" s="44">
        <f t="shared" si="3"/>
        <v>93744</v>
      </c>
      <c r="V25" s="44">
        <f t="shared" si="22"/>
        <v>222760</v>
      </c>
      <c r="W25" s="45">
        <f t="shared" si="4"/>
        <v>222768</v>
      </c>
      <c r="X25" s="44">
        <f t="shared" si="5"/>
        <v>55.0017452006981</v>
      </c>
      <c r="Y25" s="46">
        <f t="shared" si="6"/>
        <v>2188918368</v>
      </c>
      <c r="Z25" s="44">
        <f t="shared" si="7"/>
        <v>1084056725.33334</v>
      </c>
      <c r="AA25" s="44">
        <f t="shared" si="8"/>
        <v>1774654208</v>
      </c>
      <c r="AB25" s="44">
        <f t="shared" si="9"/>
        <v>1351271520</v>
      </c>
      <c r="AC25" s="44">
        <f t="shared" si="10"/>
        <v>0</v>
      </c>
      <c r="AD25" s="44">
        <f t="shared" si="11"/>
        <v>2063145568</v>
      </c>
      <c r="AE25" s="44">
        <f>IFERROR(VLOOKUP(C25,#REF!,5,0),0)</f>
        <v>0</v>
      </c>
      <c r="AF25" s="44">
        <f t="shared" si="12"/>
        <v>0</v>
      </c>
      <c r="AG25" s="44">
        <f t="shared" si="13"/>
        <v>0</v>
      </c>
      <c r="AH25" s="44">
        <f t="shared" si="14"/>
        <v>0</v>
      </c>
      <c r="AI25" s="44">
        <f t="shared" si="15"/>
        <v>0</v>
      </c>
      <c r="AJ25" s="44">
        <f t="shared" si="16"/>
        <v>0</v>
      </c>
      <c r="AK25" s="44">
        <f t="shared" si="17"/>
        <v>0</v>
      </c>
      <c r="AL25" s="43" t="s">
        <v>42</v>
      </c>
      <c r="AM25" s="47">
        <f t="shared" si="18"/>
        <v>129024</v>
      </c>
      <c r="AN25" s="43">
        <v>41328</v>
      </c>
      <c r="AO25" s="43">
        <v>66528</v>
      </c>
      <c r="AP25" s="48">
        <v>91728</v>
      </c>
      <c r="AQ25" s="3">
        <v>66528</v>
      </c>
      <c r="AR25" s="1">
        <f t="shared" si="20"/>
        <v>156240</v>
      </c>
    </row>
    <row r="26" spans="1:44">
      <c r="A26" s="42" t="e">
        <f t="shared" si="1"/>
        <v>#VALUE!</v>
      </c>
      <c r="B26" s="43" t="s">
        <v>26</v>
      </c>
      <c r="C26" s="43" t="s">
        <v>132</v>
      </c>
      <c r="D26" s="43" t="s">
        <v>133</v>
      </c>
      <c r="E26" s="43" t="s">
        <v>3</v>
      </c>
      <c r="F26" s="44">
        <v>9826</v>
      </c>
      <c r="G26" s="44">
        <v>466772.000000002</v>
      </c>
      <c r="H26" s="44">
        <v>759000</v>
      </c>
      <c r="I26" s="44">
        <v>538537.333333333</v>
      </c>
      <c r="J26" s="44">
        <v>754977</v>
      </c>
      <c r="K26" s="44">
        <v>114192</v>
      </c>
      <c r="L26" s="44">
        <v>30672</v>
      </c>
      <c r="M26" s="44">
        <v>47952</v>
      </c>
      <c r="N26" s="44">
        <v>0</v>
      </c>
      <c r="O26" s="44">
        <v>325440</v>
      </c>
      <c r="P26" s="44">
        <v>144</v>
      </c>
      <c r="Q26" s="44">
        <v>55</v>
      </c>
      <c r="R26" s="44">
        <v>917121</v>
      </c>
      <c r="S26" s="44">
        <v>51.0895499662047</v>
      </c>
      <c r="T26" s="44">
        <f t="shared" si="2"/>
        <v>829197.444444444</v>
      </c>
      <c r="U26" s="44">
        <f t="shared" si="3"/>
        <v>308160</v>
      </c>
      <c r="V26" s="44">
        <f t="shared" si="22"/>
        <v>829197.444444444</v>
      </c>
      <c r="W26" s="45">
        <f t="shared" si="4"/>
        <v>829152</v>
      </c>
      <c r="X26" s="44">
        <f t="shared" si="5"/>
        <v>54.9974684515837</v>
      </c>
      <c r="Y26" s="46">
        <f t="shared" si="6"/>
        <v>8147247552</v>
      </c>
      <c r="Z26" s="44">
        <f t="shared" si="7"/>
        <v>4586501672.00002</v>
      </c>
      <c r="AA26" s="44">
        <f t="shared" si="8"/>
        <v>7457934000</v>
      </c>
      <c r="AB26" s="44">
        <f t="shared" si="9"/>
        <v>5291667837.33333</v>
      </c>
      <c r="AC26" s="44">
        <f t="shared" si="10"/>
        <v>0</v>
      </c>
      <c r="AD26" s="44">
        <f t="shared" si="11"/>
        <v>9011630946</v>
      </c>
      <c r="AE26" s="44">
        <f>IFERROR(VLOOKUP(C26,#REF!,5,0),0)</f>
        <v>0</v>
      </c>
      <c r="AF26" s="44">
        <f t="shared" si="12"/>
        <v>0</v>
      </c>
      <c r="AG26" s="44">
        <f t="shared" si="13"/>
        <v>0</v>
      </c>
      <c r="AH26" s="44">
        <f t="shared" si="14"/>
        <v>0</v>
      </c>
      <c r="AI26" s="44">
        <f t="shared" si="15"/>
        <v>0</v>
      </c>
      <c r="AJ26" s="44">
        <f t="shared" si="16"/>
        <v>0</v>
      </c>
      <c r="AK26" s="44">
        <f t="shared" si="17"/>
        <v>0</v>
      </c>
      <c r="AL26" s="43" t="s">
        <v>42</v>
      </c>
      <c r="AM26" s="47">
        <f t="shared" si="18"/>
        <v>520992</v>
      </c>
      <c r="AN26" s="43">
        <v>116784</v>
      </c>
      <c r="AO26" s="43">
        <v>198288</v>
      </c>
      <c r="AP26" s="48">
        <v>279792</v>
      </c>
      <c r="AQ26" s="3">
        <v>198288</v>
      </c>
      <c r="AR26" s="1">
        <f t="shared" si="20"/>
        <v>630864</v>
      </c>
    </row>
    <row r="27" spans="1:44">
      <c r="A27" s="42" t="e">
        <f t="shared" si="1"/>
        <v>#VALUE!</v>
      </c>
      <c r="B27" s="43" t="s">
        <v>26</v>
      </c>
      <c r="C27" s="43" t="s">
        <v>134</v>
      </c>
      <c r="D27" s="43" t="s">
        <v>135</v>
      </c>
      <c r="E27" s="43" t="s">
        <v>3</v>
      </c>
      <c r="F27" s="44">
        <v>9826</v>
      </c>
      <c r="G27" s="44">
        <v>195385.333333334</v>
      </c>
      <c r="H27" s="44">
        <v>288480</v>
      </c>
      <c r="I27" s="44">
        <v>216070.333333333</v>
      </c>
      <c r="J27" s="44">
        <v>325398</v>
      </c>
      <c r="K27" s="44">
        <v>15120</v>
      </c>
      <c r="L27" s="44">
        <v>0</v>
      </c>
      <c r="M27" s="44">
        <v>6768</v>
      </c>
      <c r="N27" s="44">
        <v>0</v>
      </c>
      <c r="O27" s="44">
        <v>138672</v>
      </c>
      <c r="P27" s="44">
        <v>144</v>
      </c>
      <c r="Q27" s="44">
        <v>55</v>
      </c>
      <c r="R27" s="44">
        <v>347286</v>
      </c>
      <c r="S27" s="44">
        <v>48.2184659007638</v>
      </c>
      <c r="T27" s="44">
        <f t="shared" si="2"/>
        <v>337322.944444444</v>
      </c>
      <c r="U27" s="44">
        <f t="shared" si="3"/>
        <v>131904</v>
      </c>
      <c r="V27" s="44">
        <f t="shared" si="22"/>
        <v>337322.944444444</v>
      </c>
      <c r="W27" s="45">
        <f t="shared" si="4"/>
        <v>337392</v>
      </c>
      <c r="X27" s="44">
        <f t="shared" si="5"/>
        <v>55.0095879273878</v>
      </c>
      <c r="Y27" s="46">
        <f t="shared" si="6"/>
        <v>3315213792</v>
      </c>
      <c r="Z27" s="44">
        <f t="shared" si="7"/>
        <v>1919856285.33334</v>
      </c>
      <c r="AA27" s="44">
        <f t="shared" si="8"/>
        <v>2834604480</v>
      </c>
      <c r="AB27" s="44">
        <f t="shared" si="9"/>
        <v>2123107095.33333</v>
      </c>
      <c r="AC27" s="44">
        <f t="shared" si="10"/>
        <v>0</v>
      </c>
      <c r="AD27" s="44">
        <f t="shared" si="11"/>
        <v>3412432236</v>
      </c>
      <c r="AE27" s="44">
        <f>IFERROR(VLOOKUP(C27,#REF!,5,0),0)</f>
        <v>0</v>
      </c>
      <c r="AF27" s="44">
        <f t="shared" si="12"/>
        <v>0</v>
      </c>
      <c r="AG27" s="44">
        <f t="shared" si="13"/>
        <v>0</v>
      </c>
      <c r="AH27" s="44">
        <f t="shared" si="14"/>
        <v>0</v>
      </c>
      <c r="AI27" s="44">
        <f t="shared" si="15"/>
        <v>0</v>
      </c>
      <c r="AJ27" s="44">
        <f t="shared" si="16"/>
        <v>0</v>
      </c>
      <c r="AK27" s="44">
        <f t="shared" si="17"/>
        <v>0</v>
      </c>
      <c r="AL27" s="43" t="s">
        <v>42</v>
      </c>
      <c r="AM27" s="47">
        <f t="shared" si="18"/>
        <v>205488</v>
      </c>
      <c r="AN27" s="43">
        <v>64080</v>
      </c>
      <c r="AO27" s="43">
        <v>99072</v>
      </c>
      <c r="AP27" s="48">
        <v>133200</v>
      </c>
      <c r="AQ27" s="3">
        <v>99072</v>
      </c>
      <c r="AR27" s="1">
        <f t="shared" si="20"/>
        <v>238320</v>
      </c>
    </row>
    <row r="28" spans="1:44">
      <c r="A28" s="42" t="e">
        <f t="shared" si="1"/>
        <v>#VALUE!</v>
      </c>
      <c r="B28" s="43" t="s">
        <v>26</v>
      </c>
      <c r="C28" s="43" t="s">
        <v>136</v>
      </c>
      <c r="D28" s="43" t="s">
        <v>137</v>
      </c>
      <c r="E28" s="43" t="s">
        <v>3</v>
      </c>
      <c r="F28" s="44">
        <v>9826</v>
      </c>
      <c r="G28" s="44">
        <v>1696987.33333333</v>
      </c>
      <c r="H28" s="44">
        <v>2689000</v>
      </c>
      <c r="I28" s="44">
        <v>2010920.33333333</v>
      </c>
      <c r="J28" s="44">
        <v>2574775</v>
      </c>
      <c r="K28" s="44">
        <v>489168</v>
      </c>
      <c r="L28" s="44">
        <v>39744</v>
      </c>
      <c r="M28" s="44">
        <v>199440</v>
      </c>
      <c r="N28" s="44">
        <v>0</v>
      </c>
      <c r="O28" s="44">
        <v>1311408</v>
      </c>
      <c r="P28" s="44">
        <v>144</v>
      </c>
      <c r="Q28" s="44">
        <v>55</v>
      </c>
      <c r="R28" s="44">
        <v>3263383</v>
      </c>
      <c r="S28" s="44">
        <v>48.6849172377291</v>
      </c>
      <c r="T28" s="44">
        <f t="shared" si="2"/>
        <v>3112304.27777778</v>
      </c>
      <c r="U28" s="44">
        <f t="shared" si="3"/>
        <v>1151712</v>
      </c>
      <c r="V28" s="44">
        <v>2800000</v>
      </c>
      <c r="W28" s="45">
        <f t="shared" si="4"/>
        <v>2799936</v>
      </c>
      <c r="X28" s="44">
        <f t="shared" si="5"/>
        <v>50.3399206433008</v>
      </c>
      <c r="Y28" s="46">
        <f t="shared" si="6"/>
        <v>27512171136</v>
      </c>
      <c r="Z28" s="44">
        <f t="shared" si="7"/>
        <v>16674597537.3333</v>
      </c>
      <c r="AA28" s="44">
        <f t="shared" si="8"/>
        <v>26422114000</v>
      </c>
      <c r="AB28" s="44">
        <f t="shared" si="9"/>
        <v>19759303195.3333</v>
      </c>
      <c r="AC28" s="44">
        <f t="shared" si="10"/>
        <v>0</v>
      </c>
      <c r="AD28" s="44">
        <f t="shared" si="11"/>
        <v>32066001358</v>
      </c>
      <c r="AE28" s="44">
        <f>IFERROR(VLOOKUP(C28,#REF!,5,0),0)</f>
        <v>0</v>
      </c>
      <c r="AF28" s="44">
        <f t="shared" si="12"/>
        <v>0</v>
      </c>
      <c r="AG28" s="44">
        <f t="shared" si="13"/>
        <v>0</v>
      </c>
      <c r="AH28" s="44">
        <f t="shared" si="14"/>
        <v>0</v>
      </c>
      <c r="AI28" s="44">
        <f t="shared" si="15"/>
        <v>0</v>
      </c>
      <c r="AJ28" s="44">
        <f t="shared" si="16"/>
        <v>0</v>
      </c>
      <c r="AK28" s="44">
        <f t="shared" si="17"/>
        <v>0</v>
      </c>
      <c r="AL28" s="43" t="s">
        <v>42</v>
      </c>
      <c r="AM28" s="47">
        <f t="shared" si="18"/>
        <v>1648224</v>
      </c>
      <c r="AN28" s="43">
        <v>458064</v>
      </c>
      <c r="AO28" s="43">
        <v>786096</v>
      </c>
      <c r="AP28" s="48">
        <v>1113552</v>
      </c>
      <c r="AQ28" s="3">
        <v>786096</v>
      </c>
      <c r="AR28" s="1">
        <f t="shared" si="20"/>
        <v>2013840</v>
      </c>
    </row>
    <row r="29" spans="1:44">
      <c r="A29" s="42" t="e">
        <f t="shared" si="1"/>
        <v>#VALUE!</v>
      </c>
      <c r="B29" s="43" t="s">
        <v>26</v>
      </c>
      <c r="C29" s="43" t="s">
        <v>138</v>
      </c>
      <c r="D29" s="43" t="s">
        <v>139</v>
      </c>
      <c r="E29" s="43" t="s">
        <v>4</v>
      </c>
      <c r="F29" s="44">
        <v>9826</v>
      </c>
      <c r="G29" s="44">
        <v>4390.6666666667</v>
      </c>
      <c r="H29" s="44">
        <v>9574</v>
      </c>
      <c r="I29" s="44">
        <v>5373.33333333333</v>
      </c>
      <c r="J29" s="44">
        <v>9636</v>
      </c>
      <c r="K29" s="44">
        <v>144</v>
      </c>
      <c r="L29" s="44">
        <v>0</v>
      </c>
      <c r="M29" s="44">
        <v>0</v>
      </c>
      <c r="N29" s="44">
        <v>2448</v>
      </c>
      <c r="O29" s="44">
        <v>6048</v>
      </c>
      <c r="P29" s="44">
        <v>144</v>
      </c>
      <c r="Q29" s="44">
        <v>55</v>
      </c>
      <c r="R29" s="44">
        <v>9780</v>
      </c>
      <c r="S29" s="44">
        <v>54.6029776674938</v>
      </c>
      <c r="T29" s="44">
        <f t="shared" si="2"/>
        <v>7197.11111111111</v>
      </c>
      <c r="U29" s="44">
        <f t="shared" si="3"/>
        <v>3600</v>
      </c>
      <c r="V29" s="44">
        <f t="shared" ref="V29:V39" si="23">IFERROR(IF(OR(I29&lt;=0,H29&lt;=0),0,IF(AND((J29+K29+M29+U29+N29-H29)/G29*30&lt;1.5*Q29,U29&gt;T29),U29,T29)),0)</f>
        <v>7197.11111111111</v>
      </c>
      <c r="W29" s="45">
        <f t="shared" si="4"/>
        <v>7200</v>
      </c>
      <c r="X29" s="44">
        <f t="shared" si="5"/>
        <v>55.0161290322581</v>
      </c>
      <c r="Y29" s="46">
        <f t="shared" si="6"/>
        <v>70747200</v>
      </c>
      <c r="Z29" s="44">
        <f t="shared" si="7"/>
        <v>43142690.666667</v>
      </c>
      <c r="AA29" s="44">
        <f t="shared" si="8"/>
        <v>94074124</v>
      </c>
      <c r="AB29" s="44">
        <f t="shared" si="9"/>
        <v>52798373.3333333</v>
      </c>
      <c r="AC29" s="44">
        <f t="shared" si="10"/>
        <v>24054048</v>
      </c>
      <c r="AD29" s="44">
        <f t="shared" si="11"/>
        <v>96098280</v>
      </c>
      <c r="AE29" s="44">
        <f>IFERROR(VLOOKUP(C29,#REF!,5,0),0)</f>
        <v>0</v>
      </c>
      <c r="AF29" s="44">
        <f t="shared" si="12"/>
        <v>0</v>
      </c>
      <c r="AG29" s="44">
        <f t="shared" si="13"/>
        <v>0</v>
      </c>
      <c r="AH29" s="44">
        <f t="shared" si="14"/>
        <v>0</v>
      </c>
      <c r="AI29" s="44">
        <f t="shared" si="15"/>
        <v>0</v>
      </c>
      <c r="AJ29" s="44">
        <f t="shared" si="16"/>
        <v>0</v>
      </c>
      <c r="AK29" s="44">
        <f t="shared" si="17"/>
        <v>0</v>
      </c>
      <c r="AL29" s="43" t="s">
        <v>42</v>
      </c>
      <c r="AM29" s="47">
        <f t="shared" si="18"/>
        <v>3600</v>
      </c>
      <c r="AN29" s="43">
        <v>0</v>
      </c>
      <c r="AO29" s="43">
        <v>0</v>
      </c>
      <c r="AP29" s="48">
        <v>0</v>
      </c>
      <c r="AQ29" s="3">
        <v>0</v>
      </c>
      <c r="AR29" s="1">
        <f t="shared" si="20"/>
        <v>7200</v>
      </c>
    </row>
    <row r="30" spans="1:44">
      <c r="A30" s="42" t="e">
        <f t="shared" si="1"/>
        <v>#VALUE!</v>
      </c>
      <c r="B30" s="43" t="s">
        <v>26</v>
      </c>
      <c r="C30" s="43" t="s">
        <v>140</v>
      </c>
      <c r="D30" s="43" t="s">
        <v>141</v>
      </c>
      <c r="E30" s="43" t="s">
        <v>3</v>
      </c>
      <c r="F30" s="44">
        <v>9826</v>
      </c>
      <c r="G30" s="44">
        <v>48321.6666666665</v>
      </c>
      <c r="H30" s="44">
        <v>80759</v>
      </c>
      <c r="I30" s="44">
        <v>60934</v>
      </c>
      <c r="J30" s="44">
        <v>80629</v>
      </c>
      <c r="K30" s="44">
        <v>8640</v>
      </c>
      <c r="L30" s="44">
        <v>3312</v>
      </c>
      <c r="M30" s="44">
        <v>2448</v>
      </c>
      <c r="N30" s="44">
        <v>0</v>
      </c>
      <c r="O30" s="44">
        <v>45792</v>
      </c>
      <c r="P30" s="44">
        <v>144</v>
      </c>
      <c r="Q30" s="44">
        <v>55</v>
      </c>
      <c r="R30" s="44">
        <v>91717</v>
      </c>
      <c r="S30" s="44">
        <v>45.1555781665408</v>
      </c>
      <c r="T30" s="44">
        <f t="shared" si="2"/>
        <v>100754.333333333</v>
      </c>
      <c r="U30" s="44">
        <f t="shared" si="3"/>
        <v>46656</v>
      </c>
      <c r="V30" s="44">
        <f t="shared" si="23"/>
        <v>100754.333333333</v>
      </c>
      <c r="W30" s="45">
        <f t="shared" si="4"/>
        <v>100800</v>
      </c>
      <c r="X30" s="44">
        <f t="shared" si="5"/>
        <v>55.022483342633</v>
      </c>
      <c r="Y30" s="46">
        <f t="shared" si="6"/>
        <v>990460800</v>
      </c>
      <c r="Z30" s="44">
        <f t="shared" si="7"/>
        <v>474808696.666665</v>
      </c>
      <c r="AA30" s="44">
        <f t="shared" si="8"/>
        <v>793537934</v>
      </c>
      <c r="AB30" s="44">
        <f t="shared" si="9"/>
        <v>598737484</v>
      </c>
      <c r="AC30" s="44">
        <f t="shared" si="10"/>
        <v>0</v>
      </c>
      <c r="AD30" s="44">
        <f t="shared" si="11"/>
        <v>901211242</v>
      </c>
      <c r="AE30" s="44">
        <f>IFERROR(VLOOKUP(C30,#REF!,5,0),0)</f>
        <v>0</v>
      </c>
      <c r="AF30" s="44">
        <f t="shared" si="12"/>
        <v>0</v>
      </c>
      <c r="AG30" s="44">
        <f t="shared" si="13"/>
        <v>0</v>
      </c>
      <c r="AH30" s="44">
        <f t="shared" si="14"/>
        <v>0</v>
      </c>
      <c r="AI30" s="44">
        <f t="shared" si="15"/>
        <v>0</v>
      </c>
      <c r="AJ30" s="44">
        <f t="shared" si="16"/>
        <v>0</v>
      </c>
      <c r="AK30" s="44">
        <f t="shared" si="17"/>
        <v>0</v>
      </c>
      <c r="AL30" s="43" t="s">
        <v>42</v>
      </c>
      <c r="AM30" s="47">
        <f t="shared" si="18"/>
        <v>54144</v>
      </c>
      <c r="AN30" s="43">
        <v>21888</v>
      </c>
      <c r="AO30" s="43">
        <v>33120</v>
      </c>
      <c r="AP30" s="48">
        <v>44496</v>
      </c>
      <c r="AQ30" s="3">
        <v>33120</v>
      </c>
      <c r="AR30" s="1">
        <f t="shared" si="20"/>
        <v>67680</v>
      </c>
    </row>
    <row r="31" spans="1:44">
      <c r="A31" s="42" t="e">
        <f t="shared" si="1"/>
        <v>#VALUE!</v>
      </c>
      <c r="B31" s="43" t="s">
        <v>26</v>
      </c>
      <c r="C31" s="43" t="s">
        <v>142</v>
      </c>
      <c r="D31" s="43" t="s">
        <v>143</v>
      </c>
      <c r="E31" s="43" t="s">
        <v>3</v>
      </c>
      <c r="F31" s="44">
        <v>9826</v>
      </c>
      <c r="G31" s="44">
        <v>115984.666666667</v>
      </c>
      <c r="H31" s="44">
        <v>167933</v>
      </c>
      <c r="I31" s="44">
        <v>131289</v>
      </c>
      <c r="J31" s="44">
        <v>182196</v>
      </c>
      <c r="K31" s="44">
        <v>6768</v>
      </c>
      <c r="L31" s="44">
        <v>0</v>
      </c>
      <c r="M31" s="44">
        <v>4176</v>
      </c>
      <c r="N31" s="44">
        <v>0</v>
      </c>
      <c r="O31" s="44">
        <v>94752</v>
      </c>
      <c r="P31" s="44">
        <v>144</v>
      </c>
      <c r="Q31" s="44">
        <v>55</v>
      </c>
      <c r="R31" s="44">
        <v>193140</v>
      </c>
      <c r="S31" s="44">
        <v>44.1331718575052</v>
      </c>
      <c r="T31" s="44">
        <f t="shared" si="2"/>
        <v>215489.5</v>
      </c>
      <c r="U31" s="44">
        <f t="shared" si="3"/>
        <v>90576</v>
      </c>
      <c r="V31" s="44">
        <f t="shared" si="23"/>
        <v>215489.5</v>
      </c>
      <c r="W31" s="45">
        <f t="shared" si="4"/>
        <v>215424</v>
      </c>
      <c r="X31" s="44">
        <f t="shared" si="5"/>
        <v>54.9850330187601</v>
      </c>
      <c r="Y31" s="46">
        <f t="shared" si="6"/>
        <v>2116756224</v>
      </c>
      <c r="Z31" s="44">
        <f t="shared" si="7"/>
        <v>1139665334.66667</v>
      </c>
      <c r="AA31" s="44">
        <f t="shared" si="8"/>
        <v>1650109658</v>
      </c>
      <c r="AB31" s="44">
        <f t="shared" si="9"/>
        <v>1290045714</v>
      </c>
      <c r="AC31" s="44">
        <f t="shared" si="10"/>
        <v>0</v>
      </c>
      <c r="AD31" s="44">
        <f t="shared" si="11"/>
        <v>1897793640</v>
      </c>
      <c r="AE31" s="44">
        <f>IFERROR(VLOOKUP(C31,#REF!,5,0),0)</f>
        <v>0</v>
      </c>
      <c r="AF31" s="44">
        <f t="shared" si="12"/>
        <v>0</v>
      </c>
      <c r="AG31" s="44">
        <f t="shared" si="13"/>
        <v>0</v>
      </c>
      <c r="AH31" s="44">
        <f t="shared" si="14"/>
        <v>0</v>
      </c>
      <c r="AI31" s="44">
        <f t="shared" si="15"/>
        <v>0</v>
      </c>
      <c r="AJ31" s="44">
        <f t="shared" si="16"/>
        <v>0</v>
      </c>
      <c r="AK31" s="44">
        <f t="shared" si="17"/>
        <v>0</v>
      </c>
      <c r="AL31" s="43" t="s">
        <v>42</v>
      </c>
      <c r="AM31" s="47">
        <f t="shared" si="18"/>
        <v>124848</v>
      </c>
      <c r="AN31" s="43">
        <v>45216</v>
      </c>
      <c r="AO31" s="43">
        <v>68688</v>
      </c>
      <c r="AP31" s="48">
        <v>92592</v>
      </c>
      <c r="AQ31" s="3">
        <v>68688</v>
      </c>
      <c r="AR31" s="1">
        <f t="shared" si="20"/>
        <v>146736</v>
      </c>
    </row>
    <row r="32" spans="1:44">
      <c r="A32" s="42" t="e">
        <f t="shared" si="1"/>
        <v>#VALUE!</v>
      </c>
      <c r="B32" s="43" t="s">
        <v>26</v>
      </c>
      <c r="C32" s="43" t="s">
        <v>144</v>
      </c>
      <c r="D32" s="43" t="s">
        <v>145</v>
      </c>
      <c r="E32" s="43" t="s">
        <v>3</v>
      </c>
      <c r="F32" s="44">
        <v>9826</v>
      </c>
      <c r="G32" s="44">
        <v>30007.3333333333</v>
      </c>
      <c r="H32" s="44">
        <v>56225</v>
      </c>
      <c r="I32" s="44">
        <v>41180</v>
      </c>
      <c r="J32" s="44">
        <v>63311</v>
      </c>
      <c r="K32" s="44">
        <v>4896</v>
      </c>
      <c r="L32" s="44">
        <v>0</v>
      </c>
      <c r="M32" s="44">
        <v>5040</v>
      </c>
      <c r="N32" s="44">
        <v>0</v>
      </c>
      <c r="O32" s="44">
        <v>27216</v>
      </c>
      <c r="P32" s="44">
        <v>144</v>
      </c>
      <c r="Q32" s="44">
        <v>55</v>
      </c>
      <c r="R32" s="44">
        <v>73247</v>
      </c>
      <c r="S32" s="44">
        <v>53.361097620204</v>
      </c>
      <c r="T32" s="44">
        <f t="shared" si="2"/>
        <v>58474.6666666667</v>
      </c>
      <c r="U32" s="44">
        <f t="shared" si="3"/>
        <v>22176</v>
      </c>
      <c r="V32" s="44">
        <f t="shared" si="23"/>
        <v>58474.6666666667</v>
      </c>
      <c r="W32" s="45">
        <f t="shared" si="4"/>
        <v>58464</v>
      </c>
      <c r="X32" s="44">
        <f t="shared" si="5"/>
        <v>54.9922292374939</v>
      </c>
      <c r="Y32" s="46">
        <f t="shared" si="6"/>
        <v>574467264</v>
      </c>
      <c r="Z32" s="44">
        <f t="shared" si="7"/>
        <v>294852057.333333</v>
      </c>
      <c r="AA32" s="44">
        <f t="shared" si="8"/>
        <v>552466850</v>
      </c>
      <c r="AB32" s="44">
        <f t="shared" si="9"/>
        <v>404634680</v>
      </c>
      <c r="AC32" s="44">
        <f t="shared" si="10"/>
        <v>0</v>
      </c>
      <c r="AD32" s="44">
        <f t="shared" si="11"/>
        <v>719725022</v>
      </c>
      <c r="AE32" s="44">
        <f>IFERROR(VLOOKUP(C32,#REF!,5,0),0)</f>
        <v>0</v>
      </c>
      <c r="AF32" s="44">
        <f t="shared" si="12"/>
        <v>0</v>
      </c>
      <c r="AG32" s="44">
        <f t="shared" si="13"/>
        <v>0</v>
      </c>
      <c r="AH32" s="44">
        <f t="shared" si="14"/>
        <v>0</v>
      </c>
      <c r="AI32" s="44">
        <f t="shared" si="15"/>
        <v>0</v>
      </c>
      <c r="AJ32" s="44">
        <f t="shared" si="16"/>
        <v>0</v>
      </c>
      <c r="AK32" s="44">
        <f t="shared" si="17"/>
        <v>0</v>
      </c>
      <c r="AL32" s="43" t="s">
        <v>42</v>
      </c>
      <c r="AM32" s="47">
        <f t="shared" si="18"/>
        <v>36288</v>
      </c>
      <c r="AN32" s="43">
        <v>10224</v>
      </c>
      <c r="AO32" s="43">
        <v>16704</v>
      </c>
      <c r="AP32" s="48">
        <v>23184</v>
      </c>
      <c r="AQ32" s="3">
        <v>16704</v>
      </c>
      <c r="AR32" s="1">
        <f t="shared" si="20"/>
        <v>41760</v>
      </c>
    </row>
    <row r="33" spans="1:44">
      <c r="A33" s="42" t="e">
        <f t="shared" si="1"/>
        <v>#VALUE!</v>
      </c>
      <c r="B33" s="43" t="s">
        <v>26</v>
      </c>
      <c r="C33" s="43" t="s">
        <v>146</v>
      </c>
      <c r="D33" s="43" t="s">
        <v>147</v>
      </c>
      <c r="E33" s="43" t="s">
        <v>3</v>
      </c>
      <c r="F33" s="44">
        <v>9826</v>
      </c>
      <c r="G33" s="44">
        <v>18582.3333333334</v>
      </c>
      <c r="H33" s="44">
        <v>33578</v>
      </c>
      <c r="I33" s="44">
        <v>24676.6666666667</v>
      </c>
      <c r="J33" s="44">
        <v>36649</v>
      </c>
      <c r="K33" s="44">
        <v>2160</v>
      </c>
      <c r="L33" s="44">
        <v>720</v>
      </c>
      <c r="M33" s="44">
        <v>1296</v>
      </c>
      <c r="N33" s="44">
        <v>0</v>
      </c>
      <c r="O33" s="44">
        <v>19872</v>
      </c>
      <c r="P33" s="44">
        <v>144</v>
      </c>
      <c r="Q33" s="44">
        <v>55</v>
      </c>
      <c r="R33" s="44">
        <v>40105</v>
      </c>
      <c r="S33" s="44">
        <v>48.7565851681751</v>
      </c>
      <c r="T33" s="44">
        <f t="shared" si="2"/>
        <v>38713.5555555556</v>
      </c>
      <c r="U33" s="44">
        <f t="shared" si="3"/>
        <v>19296</v>
      </c>
      <c r="V33" s="44">
        <f t="shared" si="23"/>
        <v>38713.5555555556</v>
      </c>
      <c r="W33" s="45">
        <f t="shared" si="4"/>
        <v>38736</v>
      </c>
      <c r="X33" s="44">
        <f t="shared" si="5"/>
        <v>55.02728623531</v>
      </c>
      <c r="Y33" s="46">
        <f t="shared" si="6"/>
        <v>380619936</v>
      </c>
      <c r="Z33" s="44">
        <f t="shared" si="7"/>
        <v>182590007.333334</v>
      </c>
      <c r="AA33" s="44">
        <f t="shared" si="8"/>
        <v>329937428</v>
      </c>
      <c r="AB33" s="44">
        <f t="shared" si="9"/>
        <v>242472926.666667</v>
      </c>
      <c r="AC33" s="44">
        <f t="shared" si="10"/>
        <v>0</v>
      </c>
      <c r="AD33" s="44">
        <f t="shared" si="11"/>
        <v>394071730</v>
      </c>
      <c r="AE33" s="44">
        <f>IFERROR(VLOOKUP(C33,#REF!,5,0),0)</f>
        <v>0</v>
      </c>
      <c r="AF33" s="44">
        <f t="shared" si="12"/>
        <v>0</v>
      </c>
      <c r="AG33" s="44">
        <f t="shared" si="13"/>
        <v>0</v>
      </c>
      <c r="AH33" s="44">
        <f t="shared" si="14"/>
        <v>0</v>
      </c>
      <c r="AI33" s="44">
        <f t="shared" si="15"/>
        <v>0</v>
      </c>
      <c r="AJ33" s="44">
        <f t="shared" si="16"/>
        <v>0</v>
      </c>
      <c r="AK33" s="44">
        <f t="shared" si="17"/>
        <v>0</v>
      </c>
      <c r="AL33" s="43" t="s">
        <v>42</v>
      </c>
      <c r="AM33" s="47">
        <f t="shared" si="18"/>
        <v>19440</v>
      </c>
      <c r="AN33" s="43">
        <v>10080</v>
      </c>
      <c r="AO33" s="43">
        <v>14976</v>
      </c>
      <c r="AP33" s="48">
        <v>19728</v>
      </c>
      <c r="AQ33" s="3">
        <v>14976</v>
      </c>
      <c r="AR33" s="1">
        <f t="shared" si="20"/>
        <v>23760</v>
      </c>
    </row>
    <row r="34" spans="1:44">
      <c r="A34" s="42" t="e">
        <f t="shared" si="1"/>
        <v>#VALUE!</v>
      </c>
      <c r="B34" s="43" t="s">
        <v>26</v>
      </c>
      <c r="C34" s="43" t="s">
        <v>148</v>
      </c>
      <c r="D34" s="43" t="s">
        <v>149</v>
      </c>
      <c r="E34" s="43" t="s">
        <v>4</v>
      </c>
      <c r="F34" s="44">
        <v>7854</v>
      </c>
      <c r="G34" s="44">
        <v>9012.99999999998</v>
      </c>
      <c r="H34" s="44">
        <v>16573</v>
      </c>
      <c r="I34" s="44">
        <v>11324.6666666667</v>
      </c>
      <c r="J34" s="44">
        <v>22809</v>
      </c>
      <c r="K34" s="44">
        <v>2304</v>
      </c>
      <c r="L34" s="44">
        <v>0</v>
      </c>
      <c r="M34" s="44">
        <v>1152</v>
      </c>
      <c r="N34" s="44">
        <v>0</v>
      </c>
      <c r="O34" s="44">
        <v>2736</v>
      </c>
      <c r="P34" s="44">
        <v>144</v>
      </c>
      <c r="Q34" s="44">
        <v>55</v>
      </c>
      <c r="R34" s="44">
        <v>26265</v>
      </c>
      <c r="S34" s="44">
        <v>69.5782068640725</v>
      </c>
      <c r="T34" s="44">
        <f t="shared" si="2"/>
        <v>11069.8888888889</v>
      </c>
      <c r="U34" s="44">
        <f t="shared" si="3"/>
        <v>1584</v>
      </c>
      <c r="V34" s="44">
        <f t="shared" si="23"/>
        <v>11069.8888888889</v>
      </c>
      <c r="W34" s="45">
        <f t="shared" si="4"/>
        <v>11088</v>
      </c>
      <c r="X34" s="44">
        <f t="shared" si="5"/>
        <v>55.0479778654265</v>
      </c>
      <c r="Y34" s="46">
        <f t="shared" si="6"/>
        <v>87085152</v>
      </c>
      <c r="Z34" s="44">
        <f t="shared" si="7"/>
        <v>70788101.9999998</v>
      </c>
      <c r="AA34" s="44">
        <f t="shared" si="8"/>
        <v>130164342</v>
      </c>
      <c r="AB34" s="44">
        <f t="shared" si="9"/>
        <v>88943932</v>
      </c>
      <c r="AC34" s="44">
        <f t="shared" si="10"/>
        <v>0</v>
      </c>
      <c r="AD34" s="44">
        <f t="shared" si="11"/>
        <v>206285310</v>
      </c>
      <c r="AE34" s="44">
        <f>IFERROR(VLOOKUP(C34,#REF!,5,0),0)</f>
        <v>0</v>
      </c>
      <c r="AF34" s="44">
        <f t="shared" si="12"/>
        <v>0</v>
      </c>
      <c r="AG34" s="44">
        <f t="shared" si="13"/>
        <v>0</v>
      </c>
      <c r="AH34" s="44">
        <f t="shared" si="14"/>
        <v>0</v>
      </c>
      <c r="AI34" s="44">
        <f t="shared" si="15"/>
        <v>0</v>
      </c>
      <c r="AJ34" s="44">
        <f t="shared" si="16"/>
        <v>0</v>
      </c>
      <c r="AK34" s="44">
        <f t="shared" si="17"/>
        <v>0</v>
      </c>
      <c r="AL34" s="43" t="s">
        <v>42</v>
      </c>
      <c r="AM34" s="47">
        <f t="shared" si="18"/>
        <v>9504</v>
      </c>
      <c r="AN34" s="43">
        <v>720</v>
      </c>
      <c r="AO34" s="43">
        <v>1440</v>
      </c>
      <c r="AP34" s="48">
        <v>1872</v>
      </c>
      <c r="AQ34" s="3">
        <v>1440</v>
      </c>
      <c r="AR34" s="1">
        <f t="shared" si="20"/>
        <v>9648</v>
      </c>
    </row>
    <row r="35" spans="1:44">
      <c r="A35" s="42" t="e">
        <f t="shared" si="1"/>
        <v>#VALUE!</v>
      </c>
      <c r="B35" s="43" t="s">
        <v>26</v>
      </c>
      <c r="C35" s="43" t="s">
        <v>150</v>
      </c>
      <c r="D35" s="43" t="s">
        <v>151</v>
      </c>
      <c r="E35" s="43" t="s">
        <v>4</v>
      </c>
      <c r="F35" s="44">
        <v>7854</v>
      </c>
      <c r="G35" s="44">
        <v>13600.3333333333</v>
      </c>
      <c r="H35" s="44">
        <v>22168</v>
      </c>
      <c r="I35" s="44">
        <v>14737.3333333333</v>
      </c>
      <c r="J35" s="44">
        <v>32182</v>
      </c>
      <c r="K35" s="44">
        <v>2304</v>
      </c>
      <c r="L35" s="44">
        <v>0</v>
      </c>
      <c r="M35" s="44">
        <v>144</v>
      </c>
      <c r="N35" s="44">
        <v>0</v>
      </c>
      <c r="O35" s="44">
        <v>4176</v>
      </c>
      <c r="P35" s="44">
        <v>144</v>
      </c>
      <c r="Q35" s="44">
        <v>55</v>
      </c>
      <c r="R35" s="44">
        <v>34630</v>
      </c>
      <c r="S35" s="44">
        <v>70.4944358997557</v>
      </c>
      <c r="T35" s="44">
        <f t="shared" si="2"/>
        <v>14556.4444444444</v>
      </c>
      <c r="U35" s="44">
        <f t="shared" si="3"/>
        <v>4032</v>
      </c>
      <c r="V35" s="44">
        <f t="shared" si="23"/>
        <v>14556.4444444444</v>
      </c>
      <c r="W35" s="45">
        <f t="shared" si="4"/>
        <v>14544</v>
      </c>
      <c r="X35" s="44">
        <f t="shared" si="5"/>
        <v>54.974667511083</v>
      </c>
      <c r="Y35" s="46">
        <f t="shared" si="6"/>
        <v>114228576</v>
      </c>
      <c r="Z35" s="44">
        <f t="shared" si="7"/>
        <v>106817018</v>
      </c>
      <c r="AA35" s="44">
        <f t="shared" si="8"/>
        <v>174107472</v>
      </c>
      <c r="AB35" s="44">
        <f t="shared" si="9"/>
        <v>115747016</v>
      </c>
      <c r="AC35" s="44">
        <f t="shared" si="10"/>
        <v>0</v>
      </c>
      <c r="AD35" s="44">
        <f t="shared" si="11"/>
        <v>271984020</v>
      </c>
      <c r="AE35" s="44">
        <f>IFERROR(VLOOKUP(C35,#REF!,5,0),0)</f>
        <v>0</v>
      </c>
      <c r="AF35" s="44">
        <f t="shared" si="12"/>
        <v>0</v>
      </c>
      <c r="AG35" s="44">
        <f t="shared" si="13"/>
        <v>0</v>
      </c>
      <c r="AH35" s="44">
        <f t="shared" si="14"/>
        <v>0</v>
      </c>
      <c r="AI35" s="44">
        <f t="shared" si="15"/>
        <v>0</v>
      </c>
      <c r="AJ35" s="44">
        <f t="shared" si="16"/>
        <v>0</v>
      </c>
      <c r="AK35" s="44">
        <f t="shared" si="17"/>
        <v>0</v>
      </c>
      <c r="AL35" s="43" t="s">
        <v>42</v>
      </c>
      <c r="AM35" s="47">
        <f t="shared" si="18"/>
        <v>10512</v>
      </c>
      <c r="AN35" s="43">
        <v>3024</v>
      </c>
      <c r="AO35" s="43">
        <v>3600</v>
      </c>
      <c r="AP35" s="48">
        <v>4320</v>
      </c>
      <c r="AQ35" s="3">
        <v>3600</v>
      </c>
      <c r="AR35" s="1">
        <f t="shared" si="20"/>
        <v>10944</v>
      </c>
    </row>
    <row r="36" spans="1:44">
      <c r="A36" s="42" t="e">
        <f t="shared" si="1"/>
        <v>#VALUE!</v>
      </c>
      <c r="B36" s="43" t="s">
        <v>26</v>
      </c>
      <c r="C36" s="43" t="s">
        <v>152</v>
      </c>
      <c r="D36" s="43" t="s">
        <v>153</v>
      </c>
      <c r="E36" s="43" t="s">
        <v>4</v>
      </c>
      <c r="F36" s="44">
        <v>7854</v>
      </c>
      <c r="G36" s="44">
        <v>4132.66666666667</v>
      </c>
      <c r="H36" s="44">
        <v>8584</v>
      </c>
      <c r="I36" s="44">
        <v>5669</v>
      </c>
      <c r="J36" s="44">
        <v>13782</v>
      </c>
      <c r="K36" s="44">
        <v>720</v>
      </c>
      <c r="L36" s="44">
        <v>0</v>
      </c>
      <c r="M36" s="44">
        <v>432</v>
      </c>
      <c r="N36" s="44">
        <v>0</v>
      </c>
      <c r="O36" s="44">
        <v>2160</v>
      </c>
      <c r="P36" s="44">
        <v>144</v>
      </c>
      <c r="Q36" s="44">
        <v>55</v>
      </c>
      <c r="R36" s="44">
        <v>14934</v>
      </c>
      <c r="S36" s="44">
        <v>79.0298112541894</v>
      </c>
      <c r="T36" s="44">
        <f t="shared" si="2"/>
        <v>4043.16666666667</v>
      </c>
      <c r="U36" s="44">
        <f t="shared" si="3"/>
        <v>1728</v>
      </c>
      <c r="V36" s="44">
        <f t="shared" si="23"/>
        <v>4043.16666666667</v>
      </c>
      <c r="W36" s="45">
        <f t="shared" si="4"/>
        <v>4032</v>
      </c>
      <c r="X36" s="44">
        <f t="shared" si="5"/>
        <v>54.9409066854824</v>
      </c>
      <c r="Y36" s="46">
        <f t="shared" si="6"/>
        <v>31667328</v>
      </c>
      <c r="Z36" s="44">
        <f t="shared" si="7"/>
        <v>32457964.0000001</v>
      </c>
      <c r="AA36" s="44">
        <f t="shared" si="8"/>
        <v>67418736</v>
      </c>
      <c r="AB36" s="44">
        <f t="shared" si="9"/>
        <v>44524326</v>
      </c>
      <c r="AC36" s="44">
        <f t="shared" si="10"/>
        <v>0</v>
      </c>
      <c r="AD36" s="44">
        <f t="shared" si="11"/>
        <v>117291636</v>
      </c>
      <c r="AE36" s="44">
        <f>IFERROR(VLOOKUP(C36,#REF!,5,0),0)</f>
        <v>0</v>
      </c>
      <c r="AF36" s="44">
        <f t="shared" si="12"/>
        <v>0</v>
      </c>
      <c r="AG36" s="44">
        <f t="shared" si="13"/>
        <v>0</v>
      </c>
      <c r="AH36" s="44">
        <f t="shared" si="14"/>
        <v>0</v>
      </c>
      <c r="AI36" s="44">
        <f t="shared" si="15"/>
        <v>0</v>
      </c>
      <c r="AJ36" s="44">
        <f t="shared" si="16"/>
        <v>0</v>
      </c>
      <c r="AK36" s="44">
        <f t="shared" si="17"/>
        <v>0</v>
      </c>
      <c r="AL36" s="43" t="s">
        <v>42</v>
      </c>
      <c r="AM36" s="47">
        <f t="shared" si="18"/>
        <v>2304</v>
      </c>
      <c r="AN36" s="43">
        <v>1008</v>
      </c>
      <c r="AO36" s="43">
        <v>1440</v>
      </c>
      <c r="AP36" s="48">
        <v>1728</v>
      </c>
      <c r="AQ36" s="3">
        <v>1440</v>
      </c>
      <c r="AR36" s="1">
        <f t="shared" si="20"/>
        <v>2592</v>
      </c>
    </row>
    <row r="37" spans="1:44">
      <c r="A37" s="42" t="e">
        <f t="shared" si="1"/>
        <v>#VALUE!</v>
      </c>
      <c r="B37" s="43" t="s">
        <v>26</v>
      </c>
      <c r="C37" s="43" t="s">
        <v>154</v>
      </c>
      <c r="D37" s="43" t="s">
        <v>155</v>
      </c>
      <c r="E37" s="43" t="s">
        <v>3</v>
      </c>
      <c r="F37" s="44">
        <v>9826</v>
      </c>
      <c r="G37" s="44">
        <v>50186.3333333334</v>
      </c>
      <c r="H37" s="44">
        <v>52940</v>
      </c>
      <c r="I37" s="44">
        <v>43049.3333333333</v>
      </c>
      <c r="J37" s="44">
        <v>60771</v>
      </c>
      <c r="K37" s="44">
        <v>20592</v>
      </c>
      <c r="L37" s="44">
        <v>3312</v>
      </c>
      <c r="M37" s="44">
        <v>8208</v>
      </c>
      <c r="N37" s="44">
        <v>0</v>
      </c>
      <c r="O37" s="44">
        <v>11088</v>
      </c>
      <c r="P37" s="44">
        <v>144</v>
      </c>
      <c r="Q37" s="44">
        <v>55</v>
      </c>
      <c r="R37" s="44">
        <v>89571</v>
      </c>
      <c r="S37" s="44">
        <v>62.4197819555858</v>
      </c>
      <c r="T37" s="44">
        <f t="shared" si="2"/>
        <v>42292.7777777778</v>
      </c>
      <c r="U37" s="44">
        <f t="shared" si="3"/>
        <v>6192</v>
      </c>
      <c r="V37" s="44">
        <f t="shared" si="23"/>
        <v>42292.7777777778</v>
      </c>
      <c r="W37" s="45">
        <f t="shared" si="4"/>
        <v>42336</v>
      </c>
      <c r="X37" s="44">
        <f t="shared" si="5"/>
        <v>55.0301204819277</v>
      </c>
      <c r="Y37" s="46">
        <f t="shared" si="6"/>
        <v>415993536</v>
      </c>
      <c r="Z37" s="44">
        <f t="shared" si="7"/>
        <v>493130911.333334</v>
      </c>
      <c r="AA37" s="44">
        <f t="shared" si="8"/>
        <v>520188440</v>
      </c>
      <c r="AB37" s="44">
        <f t="shared" si="9"/>
        <v>423002749.333333</v>
      </c>
      <c r="AC37" s="44">
        <f t="shared" si="10"/>
        <v>0</v>
      </c>
      <c r="AD37" s="44">
        <f t="shared" si="11"/>
        <v>880124646</v>
      </c>
      <c r="AE37" s="44">
        <f>IFERROR(VLOOKUP(C37,#REF!,5,0),0)</f>
        <v>0</v>
      </c>
      <c r="AF37" s="44">
        <f t="shared" si="12"/>
        <v>0</v>
      </c>
      <c r="AG37" s="44">
        <f t="shared" si="13"/>
        <v>0</v>
      </c>
      <c r="AH37" s="44">
        <f t="shared" si="14"/>
        <v>0</v>
      </c>
      <c r="AI37" s="44">
        <f t="shared" si="15"/>
        <v>0</v>
      </c>
      <c r="AJ37" s="44">
        <f t="shared" si="16"/>
        <v>0</v>
      </c>
      <c r="AK37" s="44">
        <f t="shared" si="17"/>
        <v>0</v>
      </c>
      <c r="AL37" s="43" t="s">
        <v>42</v>
      </c>
      <c r="AM37" s="47">
        <f t="shared" si="18"/>
        <v>36144</v>
      </c>
      <c r="AN37" s="43">
        <v>0</v>
      </c>
      <c r="AO37" s="43">
        <v>1008</v>
      </c>
      <c r="AP37" s="48">
        <v>4032</v>
      </c>
      <c r="AQ37" s="3">
        <v>1008</v>
      </c>
      <c r="AR37" s="1">
        <f t="shared" si="20"/>
        <v>41328</v>
      </c>
    </row>
    <row r="38" spans="1:44">
      <c r="A38" s="42" t="e">
        <f t="shared" si="1"/>
        <v>#VALUE!</v>
      </c>
      <c r="B38" s="43" t="s">
        <v>26</v>
      </c>
      <c r="C38" s="43" t="s">
        <v>156</v>
      </c>
      <c r="D38" s="43" t="s">
        <v>157</v>
      </c>
      <c r="E38" s="43" t="s">
        <v>3</v>
      </c>
      <c r="F38" s="44">
        <v>9826</v>
      </c>
      <c r="G38" s="44">
        <v>14263</v>
      </c>
      <c r="H38" s="44">
        <v>18074</v>
      </c>
      <c r="I38" s="44">
        <v>13370.3333333333</v>
      </c>
      <c r="J38" s="44">
        <v>32226</v>
      </c>
      <c r="K38" s="44">
        <v>1872</v>
      </c>
      <c r="L38" s="44">
        <v>288</v>
      </c>
      <c r="M38" s="44">
        <v>288</v>
      </c>
      <c r="N38" s="44">
        <v>0</v>
      </c>
      <c r="O38" s="44">
        <v>3600</v>
      </c>
      <c r="P38" s="44">
        <v>144</v>
      </c>
      <c r="Q38" s="44">
        <v>55</v>
      </c>
      <c r="R38" s="44">
        <v>34386</v>
      </c>
      <c r="S38" s="44">
        <v>77.1543965495749</v>
      </c>
      <c r="T38" s="44">
        <f t="shared" si="2"/>
        <v>8200.27777777778</v>
      </c>
      <c r="U38" s="44">
        <f t="shared" si="3"/>
        <v>3600</v>
      </c>
      <c r="V38" s="44">
        <f t="shared" si="23"/>
        <v>8200.27777777778</v>
      </c>
      <c r="W38" s="45">
        <f t="shared" si="4"/>
        <v>8208</v>
      </c>
      <c r="X38" s="44">
        <f t="shared" si="5"/>
        <v>55.0173269178031</v>
      </c>
      <c r="Y38" s="46">
        <f t="shared" si="6"/>
        <v>80651808</v>
      </c>
      <c r="Z38" s="44">
        <f t="shared" si="7"/>
        <v>140148238</v>
      </c>
      <c r="AA38" s="44">
        <f t="shared" si="8"/>
        <v>177595124</v>
      </c>
      <c r="AB38" s="44">
        <f t="shared" si="9"/>
        <v>131376895.333333</v>
      </c>
      <c r="AC38" s="44">
        <f t="shared" si="10"/>
        <v>0</v>
      </c>
      <c r="AD38" s="44">
        <f t="shared" si="11"/>
        <v>337876836</v>
      </c>
      <c r="AE38" s="44">
        <f>IFERROR(VLOOKUP(C38,#REF!,5,0),0)</f>
        <v>0</v>
      </c>
      <c r="AF38" s="44">
        <f t="shared" si="12"/>
        <v>0</v>
      </c>
      <c r="AG38" s="44">
        <f t="shared" si="13"/>
        <v>0</v>
      </c>
      <c r="AH38" s="44">
        <f t="shared" si="14"/>
        <v>0</v>
      </c>
      <c r="AI38" s="44">
        <f t="shared" si="15"/>
        <v>0</v>
      </c>
      <c r="AJ38" s="44">
        <f t="shared" si="16"/>
        <v>0</v>
      </c>
      <c r="AK38" s="44">
        <f t="shared" si="17"/>
        <v>0</v>
      </c>
      <c r="AL38" s="43" t="s">
        <v>42</v>
      </c>
      <c r="AM38" s="47">
        <f t="shared" si="18"/>
        <v>4608</v>
      </c>
      <c r="AN38" s="43">
        <v>2448</v>
      </c>
      <c r="AO38" s="43">
        <v>3168</v>
      </c>
      <c r="AP38" s="48">
        <v>3888</v>
      </c>
      <c r="AQ38" s="3">
        <v>3168</v>
      </c>
      <c r="AR38" s="1">
        <f t="shared" si="20"/>
        <v>5040</v>
      </c>
    </row>
    <row r="39" spans="1:44">
      <c r="A39" s="42" t="e">
        <f t="shared" si="1"/>
        <v>#VALUE!</v>
      </c>
      <c r="B39" s="43" t="s">
        <v>26</v>
      </c>
      <c r="C39" s="43" t="s">
        <v>158</v>
      </c>
      <c r="D39" s="43" t="s">
        <v>159</v>
      </c>
      <c r="E39" s="43" t="s">
        <v>5</v>
      </c>
      <c r="F39" s="44">
        <v>17000</v>
      </c>
      <c r="G39" s="44">
        <v>800.333333333331</v>
      </c>
      <c r="H39" s="44">
        <v>382</v>
      </c>
      <c r="I39" s="44">
        <v>879.666666666667</v>
      </c>
      <c r="J39" s="44">
        <v>7102</v>
      </c>
      <c r="K39" s="44">
        <v>240</v>
      </c>
      <c r="L39" s="44">
        <v>0</v>
      </c>
      <c r="M39" s="44">
        <v>0</v>
      </c>
      <c r="N39" s="44">
        <v>0</v>
      </c>
      <c r="O39" s="44">
        <v>288</v>
      </c>
      <c r="P39" s="44">
        <v>48</v>
      </c>
      <c r="Q39" s="44">
        <v>55</v>
      </c>
      <c r="R39" s="44">
        <v>7342</v>
      </c>
      <c r="S39" s="44">
        <v>250.390299355817</v>
      </c>
      <c r="T39" s="44">
        <f t="shared" si="2"/>
        <v>0</v>
      </c>
      <c r="U39" s="44">
        <f t="shared" si="3"/>
        <v>288</v>
      </c>
      <c r="V39" s="44">
        <f t="shared" si="23"/>
        <v>0</v>
      </c>
      <c r="W39" s="45">
        <f t="shared" si="4"/>
        <v>0</v>
      </c>
      <c r="X39" s="44">
        <f t="shared" si="5"/>
        <v>237.362637362637</v>
      </c>
      <c r="Y39" s="46">
        <f t="shared" si="6"/>
        <v>0</v>
      </c>
      <c r="Z39" s="44">
        <f t="shared" si="7"/>
        <v>13605666.6666666</v>
      </c>
      <c r="AA39" s="44">
        <f t="shared" si="8"/>
        <v>6494000</v>
      </c>
      <c r="AB39" s="44">
        <f t="shared" si="9"/>
        <v>14954333.3333333</v>
      </c>
      <c r="AC39" s="44">
        <f t="shared" si="10"/>
        <v>0</v>
      </c>
      <c r="AD39" s="44">
        <f t="shared" si="11"/>
        <v>124814000</v>
      </c>
      <c r="AE39" s="44">
        <f>IFERROR(VLOOKUP(C39,#REF!,5,0),0)</f>
        <v>0</v>
      </c>
      <c r="AF39" s="44">
        <f t="shared" si="12"/>
        <v>0</v>
      </c>
      <c r="AG39" s="44">
        <f t="shared" si="13"/>
        <v>0</v>
      </c>
      <c r="AH39" s="44">
        <f t="shared" si="14"/>
        <v>0</v>
      </c>
      <c r="AI39" s="44">
        <f t="shared" si="15"/>
        <v>0</v>
      </c>
      <c r="AJ39" s="44">
        <f t="shared" si="16"/>
        <v>0</v>
      </c>
      <c r="AK39" s="44">
        <f t="shared" si="17"/>
        <v>0</v>
      </c>
      <c r="AL39" s="43" t="s">
        <v>44</v>
      </c>
      <c r="AM39" s="47">
        <f t="shared" si="18"/>
        <v>-288</v>
      </c>
      <c r="AN39" s="43">
        <v>0</v>
      </c>
      <c r="AO39" s="43">
        <v>0</v>
      </c>
      <c r="AP39" s="48">
        <v>0</v>
      </c>
      <c r="AQ39" s="3">
        <f t="shared" si="19"/>
        <v>0</v>
      </c>
      <c r="AR39" s="1">
        <f t="shared" si="20"/>
        <v>0</v>
      </c>
    </row>
    <row r="40" spans="1:44">
      <c r="A40" s="42" t="e">
        <f t="shared" si="1"/>
        <v>#VALUE!</v>
      </c>
      <c r="B40" s="43" t="s">
        <v>26</v>
      </c>
      <c r="C40" s="43" t="s">
        <v>160</v>
      </c>
      <c r="D40" s="43" t="s">
        <v>161</v>
      </c>
      <c r="E40" s="43" t="s">
        <v>3</v>
      </c>
      <c r="F40" s="44">
        <v>8160</v>
      </c>
      <c r="G40" s="44">
        <v>104923</v>
      </c>
      <c r="H40" s="44">
        <v>106407</v>
      </c>
      <c r="I40" s="44">
        <v>104385.333333333</v>
      </c>
      <c r="J40" s="44">
        <v>135581</v>
      </c>
      <c r="K40" s="44">
        <v>18144</v>
      </c>
      <c r="L40" s="44">
        <v>0</v>
      </c>
      <c r="M40" s="44">
        <v>1392</v>
      </c>
      <c r="N40" s="44">
        <v>0</v>
      </c>
      <c r="O40" s="44">
        <v>47304</v>
      </c>
      <c r="P40" s="44">
        <v>72</v>
      </c>
      <c r="Q40" s="44">
        <v>55</v>
      </c>
      <c r="R40" s="44">
        <v>155117</v>
      </c>
      <c r="S40" s="44">
        <v>44.5801134258964</v>
      </c>
      <c r="T40" s="44">
        <f t="shared" si="2"/>
        <v>142663.111111111</v>
      </c>
      <c r="U40" s="44">
        <f t="shared" si="3"/>
        <v>45912</v>
      </c>
      <c r="V40" s="44">
        <f>U40</f>
        <v>45912</v>
      </c>
      <c r="W40" s="45">
        <f t="shared" si="4"/>
        <v>45936</v>
      </c>
      <c r="X40" s="44">
        <f t="shared" si="5"/>
        <v>27.2009477704403</v>
      </c>
      <c r="Y40" s="46">
        <f t="shared" si="6"/>
        <v>374837760</v>
      </c>
      <c r="Z40" s="44">
        <f t="shared" si="7"/>
        <v>856171680.000002</v>
      </c>
      <c r="AA40" s="44">
        <f t="shared" si="8"/>
        <v>868281120</v>
      </c>
      <c r="AB40" s="44">
        <f t="shared" si="9"/>
        <v>851784320</v>
      </c>
      <c r="AC40" s="44">
        <f t="shared" si="10"/>
        <v>0</v>
      </c>
      <c r="AD40" s="44">
        <f t="shared" si="11"/>
        <v>1265754720</v>
      </c>
      <c r="AE40" s="44">
        <f>IFERROR(VLOOKUP(C40,#REF!,5,0),0)</f>
        <v>0</v>
      </c>
      <c r="AF40" s="44">
        <f t="shared" si="12"/>
        <v>0</v>
      </c>
      <c r="AG40" s="44">
        <f t="shared" si="13"/>
        <v>0</v>
      </c>
      <c r="AH40" s="44">
        <f t="shared" si="14"/>
        <v>0</v>
      </c>
      <c r="AI40" s="44">
        <f t="shared" si="15"/>
        <v>0</v>
      </c>
      <c r="AJ40" s="44">
        <f t="shared" si="16"/>
        <v>0</v>
      </c>
      <c r="AK40" s="44">
        <f t="shared" si="17"/>
        <v>0</v>
      </c>
      <c r="AL40" s="43" t="s">
        <v>44</v>
      </c>
      <c r="AM40" s="47">
        <f t="shared" si="18"/>
        <v>24</v>
      </c>
      <c r="AN40" s="43">
        <v>23232</v>
      </c>
      <c r="AO40" s="43">
        <v>34824</v>
      </c>
      <c r="AP40" s="48">
        <v>46776</v>
      </c>
      <c r="AQ40" s="3">
        <f t="shared" si="19"/>
        <v>23256</v>
      </c>
      <c r="AR40" s="1">
        <f t="shared" ref="AR40:AR71" si="24">W40-AQ40</f>
        <v>22680</v>
      </c>
    </row>
    <row r="41" spans="1:44">
      <c r="A41" s="42" t="e">
        <f t="shared" si="1"/>
        <v>#VALUE!</v>
      </c>
      <c r="B41" s="43" t="s">
        <v>26</v>
      </c>
      <c r="C41" s="43" t="s">
        <v>162</v>
      </c>
      <c r="D41" s="43" t="s">
        <v>163</v>
      </c>
      <c r="E41" s="43" t="s">
        <v>4</v>
      </c>
      <c r="F41" s="44">
        <v>16150</v>
      </c>
      <c r="G41" s="44">
        <v>3694.66666666667</v>
      </c>
      <c r="H41" s="44">
        <v>5253</v>
      </c>
      <c r="I41" s="44">
        <v>4839.66666666667</v>
      </c>
      <c r="J41" s="44">
        <v>5462</v>
      </c>
      <c r="K41" s="44">
        <v>600</v>
      </c>
      <c r="L41" s="44">
        <v>700</v>
      </c>
      <c r="M41" s="44">
        <v>0</v>
      </c>
      <c r="N41" s="44">
        <v>0</v>
      </c>
      <c r="O41" s="44">
        <v>4200</v>
      </c>
      <c r="P41" s="44">
        <v>100</v>
      </c>
      <c r="Q41" s="44">
        <v>55</v>
      </c>
      <c r="R41" s="44">
        <v>6062</v>
      </c>
      <c r="S41" s="44">
        <v>37.5769681107514</v>
      </c>
      <c r="T41" s="44">
        <f t="shared" si="2"/>
        <v>8063.72222222222</v>
      </c>
      <c r="U41" s="44">
        <f t="shared" si="3"/>
        <v>4900</v>
      </c>
      <c r="V41" s="44">
        <f t="shared" ref="V41:V54" si="25">IFERROR(IF(OR(I41&lt;=0,H41&lt;=0),0,IF(AND((J41+K41+M41+U41+N41-H41)/G41*30&lt;1.5*Q41,U41&gt;T41),U41,T41)),0)</f>
        <v>8063.72222222222</v>
      </c>
      <c r="W41" s="45">
        <f t="shared" si="4"/>
        <v>8100</v>
      </c>
      <c r="X41" s="44">
        <f t="shared" si="5"/>
        <v>55.2248777464013</v>
      </c>
      <c r="Y41" s="46">
        <f t="shared" si="6"/>
        <v>130815000</v>
      </c>
      <c r="Z41" s="44">
        <f t="shared" si="7"/>
        <v>59668866.6666668</v>
      </c>
      <c r="AA41" s="44">
        <f t="shared" si="8"/>
        <v>84835950</v>
      </c>
      <c r="AB41" s="44">
        <f t="shared" si="9"/>
        <v>78160616.6666667</v>
      </c>
      <c r="AC41" s="44">
        <f t="shared" si="10"/>
        <v>0</v>
      </c>
      <c r="AD41" s="44">
        <f t="shared" si="11"/>
        <v>97901300</v>
      </c>
      <c r="AE41" s="44">
        <f>IFERROR(VLOOKUP(C41,#REF!,5,0),0)</f>
        <v>0</v>
      </c>
      <c r="AF41" s="44">
        <f t="shared" si="12"/>
        <v>0</v>
      </c>
      <c r="AG41" s="44">
        <f t="shared" si="13"/>
        <v>0</v>
      </c>
      <c r="AH41" s="44">
        <f t="shared" si="14"/>
        <v>0</v>
      </c>
      <c r="AI41" s="44">
        <f t="shared" si="15"/>
        <v>0</v>
      </c>
      <c r="AJ41" s="44">
        <f t="shared" si="16"/>
        <v>0</v>
      </c>
      <c r="AK41" s="44">
        <f t="shared" si="17"/>
        <v>0</v>
      </c>
      <c r="AL41" s="43" t="s">
        <v>39</v>
      </c>
      <c r="AM41" s="47">
        <f t="shared" si="18"/>
        <v>3200</v>
      </c>
      <c r="AN41" s="43">
        <v>0</v>
      </c>
      <c r="AO41" s="43">
        <v>0</v>
      </c>
      <c r="AP41" s="48">
        <v>0</v>
      </c>
      <c r="AQ41" s="3">
        <f t="shared" si="19"/>
        <v>0</v>
      </c>
      <c r="AR41" s="1">
        <f t="shared" si="24"/>
        <v>8100</v>
      </c>
    </row>
    <row r="42" spans="1:44">
      <c r="A42" s="42" t="e">
        <f t="shared" si="1"/>
        <v>#VALUE!</v>
      </c>
      <c r="B42" s="43" t="s">
        <v>26</v>
      </c>
      <c r="C42" s="43" t="s">
        <v>164</v>
      </c>
      <c r="D42" s="43" t="s">
        <v>165</v>
      </c>
      <c r="E42" s="43" t="s">
        <v>5</v>
      </c>
      <c r="F42" s="44">
        <v>10540</v>
      </c>
      <c r="G42" s="44">
        <v>1148.99999999999</v>
      </c>
      <c r="H42" s="44">
        <v>1786</v>
      </c>
      <c r="I42" s="44">
        <v>1519.33333333333</v>
      </c>
      <c r="J42" s="44">
        <v>9825</v>
      </c>
      <c r="K42" s="44">
        <v>0</v>
      </c>
      <c r="L42" s="44">
        <v>0</v>
      </c>
      <c r="M42" s="44">
        <v>0</v>
      </c>
      <c r="N42" s="44">
        <v>0</v>
      </c>
      <c r="O42" s="44">
        <v>900</v>
      </c>
      <c r="P42" s="44">
        <v>100</v>
      </c>
      <c r="Q42" s="44">
        <v>55</v>
      </c>
      <c r="R42" s="44">
        <v>9825</v>
      </c>
      <c r="S42" s="44">
        <v>193.999561211057</v>
      </c>
      <c r="T42" s="44">
        <f t="shared" si="2"/>
        <v>0</v>
      </c>
      <c r="U42" s="44">
        <f t="shared" si="3"/>
        <v>900</v>
      </c>
      <c r="V42" s="44">
        <f t="shared" si="25"/>
        <v>0</v>
      </c>
      <c r="W42" s="45">
        <f t="shared" si="4"/>
        <v>0</v>
      </c>
      <c r="X42" s="44">
        <f t="shared" si="5"/>
        <v>158.734093900834</v>
      </c>
      <c r="Y42" s="46">
        <f t="shared" si="6"/>
        <v>0</v>
      </c>
      <c r="Z42" s="44">
        <f t="shared" si="7"/>
        <v>12110459.9999999</v>
      </c>
      <c r="AA42" s="44">
        <f t="shared" si="8"/>
        <v>18824440</v>
      </c>
      <c r="AB42" s="44">
        <f t="shared" si="9"/>
        <v>16013773.3333333</v>
      </c>
      <c r="AC42" s="44">
        <f t="shared" si="10"/>
        <v>0</v>
      </c>
      <c r="AD42" s="44">
        <f t="shared" si="11"/>
        <v>103555500</v>
      </c>
      <c r="AE42" s="44">
        <f>IFERROR(VLOOKUP(C42,#REF!,5,0),0)</f>
        <v>0</v>
      </c>
      <c r="AF42" s="44">
        <f t="shared" si="12"/>
        <v>0</v>
      </c>
      <c r="AG42" s="44">
        <f t="shared" si="13"/>
        <v>0</v>
      </c>
      <c r="AH42" s="44">
        <f t="shared" si="14"/>
        <v>0</v>
      </c>
      <c r="AI42" s="44">
        <f t="shared" si="15"/>
        <v>0</v>
      </c>
      <c r="AJ42" s="44">
        <f t="shared" si="16"/>
        <v>0</v>
      </c>
      <c r="AK42" s="44">
        <f t="shared" si="17"/>
        <v>0</v>
      </c>
      <c r="AL42" s="43" t="s">
        <v>39</v>
      </c>
      <c r="AM42" s="47">
        <f t="shared" si="18"/>
        <v>-900</v>
      </c>
      <c r="AN42" s="43">
        <v>0</v>
      </c>
      <c r="AO42" s="43">
        <v>0</v>
      </c>
      <c r="AP42" s="48">
        <v>0</v>
      </c>
      <c r="AQ42" s="3">
        <f t="shared" si="19"/>
        <v>0</v>
      </c>
      <c r="AR42" s="1">
        <f t="shared" si="24"/>
        <v>0</v>
      </c>
    </row>
    <row r="43" spans="1:44">
      <c r="A43" s="42" t="e">
        <f t="shared" si="1"/>
        <v>#VALUE!</v>
      </c>
      <c r="B43" s="43" t="s">
        <v>26</v>
      </c>
      <c r="C43" s="43" t="s">
        <v>166</v>
      </c>
      <c r="D43" s="43" t="s">
        <v>167</v>
      </c>
      <c r="E43" s="43" t="s">
        <v>3</v>
      </c>
      <c r="F43" s="44">
        <v>22865</v>
      </c>
      <c r="G43" s="44">
        <v>17279.3333333334</v>
      </c>
      <c r="H43" s="44">
        <v>14862</v>
      </c>
      <c r="I43" s="44">
        <v>16135.3333333333</v>
      </c>
      <c r="J43" s="44">
        <v>36478</v>
      </c>
      <c r="K43" s="44">
        <v>4100</v>
      </c>
      <c r="L43" s="44">
        <v>0</v>
      </c>
      <c r="M43" s="44">
        <v>5600</v>
      </c>
      <c r="N43" s="44">
        <v>0</v>
      </c>
      <c r="O43" s="44">
        <v>1500</v>
      </c>
      <c r="P43" s="44">
        <v>100</v>
      </c>
      <c r="Q43" s="44">
        <v>55</v>
      </c>
      <c r="R43" s="44">
        <v>46178</v>
      </c>
      <c r="S43" s="44">
        <v>85.8575383216957</v>
      </c>
      <c r="T43" s="44">
        <f t="shared" si="2"/>
        <v>0</v>
      </c>
      <c r="U43" s="44">
        <f t="shared" si="3"/>
        <v>0</v>
      </c>
      <c r="V43" s="44">
        <f t="shared" si="25"/>
        <v>0</v>
      </c>
      <c r="W43" s="45">
        <f t="shared" si="4"/>
        <v>0</v>
      </c>
      <c r="X43" s="44">
        <f t="shared" si="5"/>
        <v>58.2250134280874</v>
      </c>
      <c r="Y43" s="46">
        <f t="shared" si="6"/>
        <v>0</v>
      </c>
      <c r="Z43" s="44">
        <f t="shared" si="7"/>
        <v>395091956.666668</v>
      </c>
      <c r="AA43" s="44">
        <f t="shared" si="8"/>
        <v>339819630</v>
      </c>
      <c r="AB43" s="44">
        <f t="shared" si="9"/>
        <v>368934396.666667</v>
      </c>
      <c r="AC43" s="44">
        <f t="shared" si="10"/>
        <v>0</v>
      </c>
      <c r="AD43" s="44">
        <f t="shared" si="11"/>
        <v>1055859970</v>
      </c>
      <c r="AE43" s="44">
        <f>IFERROR(VLOOKUP(C43,#REF!,5,0),0)</f>
        <v>0</v>
      </c>
      <c r="AF43" s="44">
        <f t="shared" si="12"/>
        <v>0</v>
      </c>
      <c r="AG43" s="44">
        <f t="shared" si="13"/>
        <v>0</v>
      </c>
      <c r="AH43" s="44">
        <f t="shared" si="14"/>
        <v>0</v>
      </c>
      <c r="AI43" s="44">
        <f t="shared" si="15"/>
        <v>0</v>
      </c>
      <c r="AJ43" s="44">
        <f t="shared" si="16"/>
        <v>0</v>
      </c>
      <c r="AK43" s="44">
        <f t="shared" si="17"/>
        <v>0</v>
      </c>
      <c r="AL43" s="43" t="s">
        <v>40</v>
      </c>
      <c r="AM43" s="47">
        <f t="shared" si="18"/>
        <v>0</v>
      </c>
      <c r="AN43" s="43">
        <v>0</v>
      </c>
      <c r="AO43" s="43">
        <v>0</v>
      </c>
      <c r="AP43" s="48">
        <v>0</v>
      </c>
      <c r="AQ43" s="3">
        <f t="shared" si="19"/>
        <v>0</v>
      </c>
      <c r="AR43" s="1">
        <f t="shared" si="24"/>
        <v>0</v>
      </c>
    </row>
    <row r="44" spans="1:44">
      <c r="A44" s="42" t="e">
        <f t="shared" si="1"/>
        <v>#VALUE!</v>
      </c>
      <c r="B44" s="43" t="s">
        <v>26</v>
      </c>
      <c r="C44" s="43" t="s">
        <v>168</v>
      </c>
      <c r="D44" s="43" t="s">
        <v>169</v>
      </c>
      <c r="E44" s="43" t="s">
        <v>3</v>
      </c>
      <c r="F44" s="44">
        <v>22865</v>
      </c>
      <c r="G44" s="44">
        <v>7247.33333333331</v>
      </c>
      <c r="H44" s="44">
        <v>5872</v>
      </c>
      <c r="I44" s="44">
        <v>7050.33333333333</v>
      </c>
      <c r="J44" s="44">
        <v>13106</v>
      </c>
      <c r="K44" s="44">
        <v>1700</v>
      </c>
      <c r="L44" s="44">
        <v>100</v>
      </c>
      <c r="M44" s="44">
        <v>2200</v>
      </c>
      <c r="N44" s="44">
        <v>0</v>
      </c>
      <c r="O44" s="44">
        <v>2500</v>
      </c>
      <c r="P44" s="44">
        <v>100</v>
      </c>
      <c r="Q44" s="44">
        <v>45</v>
      </c>
      <c r="R44" s="44">
        <v>17006</v>
      </c>
      <c r="S44" s="44">
        <v>72.3625360503049</v>
      </c>
      <c r="T44" s="44">
        <f t="shared" si="2"/>
        <v>0</v>
      </c>
      <c r="U44" s="44">
        <f t="shared" si="3"/>
        <v>400</v>
      </c>
      <c r="V44" s="44">
        <f t="shared" si="25"/>
        <v>400</v>
      </c>
      <c r="W44" s="45">
        <f t="shared" si="4"/>
        <v>400</v>
      </c>
      <c r="X44" s="44">
        <f t="shared" si="5"/>
        <v>49.0785305659307</v>
      </c>
      <c r="Y44" s="46">
        <f t="shared" si="6"/>
        <v>9146000</v>
      </c>
      <c r="Z44" s="44">
        <f t="shared" si="7"/>
        <v>165710276.666666</v>
      </c>
      <c r="AA44" s="44">
        <f t="shared" si="8"/>
        <v>134263280</v>
      </c>
      <c r="AB44" s="44">
        <f t="shared" si="9"/>
        <v>161205871.666667</v>
      </c>
      <c r="AC44" s="44">
        <f t="shared" si="10"/>
        <v>0</v>
      </c>
      <c r="AD44" s="44">
        <f t="shared" si="11"/>
        <v>388842190</v>
      </c>
      <c r="AE44" s="44">
        <f>IFERROR(VLOOKUP(C44,#REF!,5,0),0)</f>
        <v>0</v>
      </c>
      <c r="AF44" s="44">
        <f t="shared" si="12"/>
        <v>0</v>
      </c>
      <c r="AG44" s="44">
        <f t="shared" si="13"/>
        <v>0</v>
      </c>
      <c r="AH44" s="44">
        <f t="shared" si="14"/>
        <v>0</v>
      </c>
      <c r="AI44" s="44">
        <f t="shared" si="15"/>
        <v>0</v>
      </c>
      <c r="AJ44" s="44">
        <f t="shared" si="16"/>
        <v>0</v>
      </c>
      <c r="AK44" s="44">
        <f t="shared" si="17"/>
        <v>0</v>
      </c>
      <c r="AL44" s="43" t="s">
        <v>40</v>
      </c>
      <c r="AM44" s="47">
        <f t="shared" si="18"/>
        <v>0</v>
      </c>
      <c r="AN44" s="43">
        <v>0</v>
      </c>
      <c r="AO44" s="43">
        <v>0</v>
      </c>
      <c r="AP44" s="48">
        <v>700</v>
      </c>
      <c r="AQ44" s="3">
        <f t="shared" si="19"/>
        <v>0</v>
      </c>
      <c r="AR44" s="1">
        <f t="shared" si="24"/>
        <v>400</v>
      </c>
    </row>
    <row r="45" spans="1:44">
      <c r="A45" s="42" t="e">
        <f t="shared" si="1"/>
        <v>#VALUE!</v>
      </c>
      <c r="B45" s="43" t="s">
        <v>26</v>
      </c>
      <c r="C45" s="43" t="s">
        <v>170</v>
      </c>
      <c r="D45" s="43" t="s">
        <v>171</v>
      </c>
      <c r="E45" s="43" t="s">
        <v>4</v>
      </c>
      <c r="F45" s="44">
        <v>15300</v>
      </c>
      <c r="G45" s="44">
        <v>1300.33333333333</v>
      </c>
      <c r="H45" s="44">
        <v>879</v>
      </c>
      <c r="I45" s="44">
        <v>1060.66666666667</v>
      </c>
      <c r="J45" s="44">
        <v>5304</v>
      </c>
      <c r="K45" s="44">
        <v>300</v>
      </c>
      <c r="L45" s="44">
        <v>0</v>
      </c>
      <c r="M45" s="44">
        <v>2300</v>
      </c>
      <c r="N45" s="44">
        <v>0</v>
      </c>
      <c r="O45" s="44">
        <v>100</v>
      </c>
      <c r="P45" s="44">
        <v>100</v>
      </c>
      <c r="Q45" s="44">
        <v>55</v>
      </c>
      <c r="R45" s="44">
        <v>7904</v>
      </c>
      <c r="S45" s="44">
        <v>223.557510999371</v>
      </c>
      <c r="T45" s="44">
        <f t="shared" si="2"/>
        <v>0</v>
      </c>
      <c r="U45" s="44">
        <f t="shared" si="3"/>
        <v>0</v>
      </c>
      <c r="V45" s="44">
        <f t="shared" si="25"/>
        <v>0</v>
      </c>
      <c r="W45" s="45">
        <f t="shared" si="4"/>
        <v>0</v>
      </c>
      <c r="X45" s="44">
        <f t="shared" si="5"/>
        <v>198.695788812068</v>
      </c>
      <c r="Y45" s="46">
        <f t="shared" si="6"/>
        <v>0</v>
      </c>
      <c r="Z45" s="44">
        <f t="shared" si="7"/>
        <v>19895100</v>
      </c>
      <c r="AA45" s="44">
        <f t="shared" si="8"/>
        <v>13448700</v>
      </c>
      <c r="AB45" s="44">
        <f t="shared" si="9"/>
        <v>16228200</v>
      </c>
      <c r="AC45" s="44">
        <f t="shared" si="10"/>
        <v>0</v>
      </c>
      <c r="AD45" s="44">
        <f t="shared" si="11"/>
        <v>120931200</v>
      </c>
      <c r="AE45" s="44">
        <f>IFERROR(VLOOKUP(C45,#REF!,5,0),0)</f>
        <v>0</v>
      </c>
      <c r="AF45" s="44">
        <f t="shared" si="12"/>
        <v>0</v>
      </c>
      <c r="AG45" s="44">
        <f t="shared" si="13"/>
        <v>0</v>
      </c>
      <c r="AH45" s="44">
        <f t="shared" si="14"/>
        <v>0</v>
      </c>
      <c r="AI45" s="44">
        <f t="shared" si="15"/>
        <v>0</v>
      </c>
      <c r="AJ45" s="44">
        <f t="shared" si="16"/>
        <v>0</v>
      </c>
      <c r="AK45" s="44">
        <f t="shared" si="17"/>
        <v>0</v>
      </c>
      <c r="AL45" s="43" t="s">
        <v>40</v>
      </c>
      <c r="AM45" s="47">
        <f t="shared" si="18"/>
        <v>0</v>
      </c>
      <c r="AN45" s="43">
        <v>0</v>
      </c>
      <c r="AO45" s="43">
        <v>0</v>
      </c>
      <c r="AP45" s="48">
        <v>0</v>
      </c>
      <c r="AQ45" s="3">
        <f t="shared" si="19"/>
        <v>0</v>
      </c>
      <c r="AR45" s="1">
        <f t="shared" si="24"/>
        <v>0</v>
      </c>
    </row>
    <row r="46" spans="1:44">
      <c r="A46" s="42" t="e">
        <f t="shared" si="1"/>
        <v>#VALUE!</v>
      </c>
      <c r="B46" s="43" t="s">
        <v>26</v>
      </c>
      <c r="C46" s="43" t="s">
        <v>172</v>
      </c>
      <c r="D46" s="43" t="s">
        <v>173</v>
      </c>
      <c r="E46" s="43" t="s">
        <v>4</v>
      </c>
      <c r="F46" s="44">
        <v>9860</v>
      </c>
      <c r="G46" s="44">
        <v>2103.66666666665</v>
      </c>
      <c r="H46" s="44">
        <v>1463</v>
      </c>
      <c r="I46" s="44">
        <v>1871.33333333333</v>
      </c>
      <c r="J46" s="44">
        <v>3982</v>
      </c>
      <c r="K46" s="44">
        <v>200</v>
      </c>
      <c r="L46" s="44">
        <v>200</v>
      </c>
      <c r="M46" s="44">
        <v>900</v>
      </c>
      <c r="N46" s="44">
        <v>0</v>
      </c>
      <c r="O46" s="44">
        <v>300</v>
      </c>
      <c r="P46" s="44">
        <v>100</v>
      </c>
      <c r="Q46" s="44">
        <v>55</v>
      </c>
      <c r="R46" s="44">
        <v>5082</v>
      </c>
      <c r="S46" s="44">
        <v>81.4713216957606</v>
      </c>
      <c r="T46" s="44">
        <f t="shared" si="2"/>
        <v>0</v>
      </c>
      <c r="U46" s="44">
        <f t="shared" si="3"/>
        <v>0</v>
      </c>
      <c r="V46" s="44">
        <f t="shared" si="25"/>
        <v>0</v>
      </c>
      <c r="W46" s="45">
        <f t="shared" si="4"/>
        <v>0</v>
      </c>
      <c r="X46" s="44">
        <f t="shared" si="5"/>
        <v>58.0174563591022</v>
      </c>
      <c r="Y46" s="46">
        <f t="shared" si="6"/>
        <v>0</v>
      </c>
      <c r="Z46" s="44">
        <f t="shared" si="7"/>
        <v>20742153.3333332</v>
      </c>
      <c r="AA46" s="44">
        <f t="shared" si="8"/>
        <v>14425180</v>
      </c>
      <c r="AB46" s="44">
        <f t="shared" si="9"/>
        <v>18451346.6666667</v>
      </c>
      <c r="AC46" s="44">
        <f t="shared" si="10"/>
        <v>0</v>
      </c>
      <c r="AD46" s="44">
        <f t="shared" si="11"/>
        <v>50108520</v>
      </c>
      <c r="AE46" s="44">
        <f>IFERROR(VLOOKUP(C46,#REF!,5,0),0)</f>
        <v>0</v>
      </c>
      <c r="AF46" s="44">
        <f t="shared" si="12"/>
        <v>0</v>
      </c>
      <c r="AG46" s="44">
        <f t="shared" si="13"/>
        <v>0</v>
      </c>
      <c r="AH46" s="44">
        <f t="shared" si="14"/>
        <v>0</v>
      </c>
      <c r="AI46" s="44">
        <f t="shared" si="15"/>
        <v>0</v>
      </c>
      <c r="AJ46" s="44">
        <f t="shared" si="16"/>
        <v>0</v>
      </c>
      <c r="AK46" s="44">
        <f t="shared" si="17"/>
        <v>0</v>
      </c>
      <c r="AL46" s="43" t="s">
        <v>40</v>
      </c>
      <c r="AM46" s="47">
        <f t="shared" si="18"/>
        <v>0</v>
      </c>
      <c r="AN46" s="43">
        <v>0</v>
      </c>
      <c r="AO46" s="43">
        <v>0</v>
      </c>
      <c r="AP46" s="48">
        <v>0</v>
      </c>
      <c r="AQ46" s="3">
        <f t="shared" si="19"/>
        <v>0</v>
      </c>
      <c r="AR46" s="1">
        <f t="shared" si="24"/>
        <v>0</v>
      </c>
    </row>
    <row r="47" spans="1:44">
      <c r="A47" s="42" t="e">
        <f t="shared" si="1"/>
        <v>#VALUE!</v>
      </c>
      <c r="B47" s="43" t="s">
        <v>26</v>
      </c>
      <c r="C47" s="43" t="s">
        <v>174</v>
      </c>
      <c r="D47" s="43" t="s">
        <v>175</v>
      </c>
      <c r="E47" s="43" t="s">
        <v>4</v>
      </c>
      <c r="F47" s="44">
        <v>7990</v>
      </c>
      <c r="G47" s="44">
        <v>18943.3333333334</v>
      </c>
      <c r="H47" s="44">
        <v>11652</v>
      </c>
      <c r="I47" s="44">
        <v>18959.6666666667</v>
      </c>
      <c r="J47" s="44">
        <v>25090</v>
      </c>
      <c r="K47" s="44">
        <v>3700</v>
      </c>
      <c r="L47" s="44">
        <v>300</v>
      </c>
      <c r="M47" s="44">
        <v>2100</v>
      </c>
      <c r="N47" s="44">
        <v>0</v>
      </c>
      <c r="O47" s="44">
        <v>3300</v>
      </c>
      <c r="P47" s="44">
        <v>100</v>
      </c>
      <c r="Q47" s="44">
        <v>40</v>
      </c>
      <c r="R47" s="44">
        <v>30890</v>
      </c>
      <c r="S47" s="44">
        <v>48.8774415865258</v>
      </c>
      <c r="T47" s="44">
        <f t="shared" si="2"/>
        <v>6041.55555555555</v>
      </c>
      <c r="U47" s="44">
        <f t="shared" si="3"/>
        <v>1500</v>
      </c>
      <c r="V47" s="44">
        <f t="shared" si="25"/>
        <v>6041.55555555555</v>
      </c>
      <c r="W47" s="45">
        <f t="shared" si="4"/>
        <v>6000</v>
      </c>
      <c r="X47" s="44">
        <f t="shared" si="5"/>
        <v>39.934246382672</v>
      </c>
      <c r="Y47" s="46">
        <f t="shared" si="6"/>
        <v>47940000</v>
      </c>
      <c r="Z47" s="44">
        <f t="shared" si="7"/>
        <v>151357233.333334</v>
      </c>
      <c r="AA47" s="44">
        <f t="shared" si="8"/>
        <v>93099480</v>
      </c>
      <c r="AB47" s="44">
        <f t="shared" si="9"/>
        <v>151487736.666667</v>
      </c>
      <c r="AC47" s="44">
        <f t="shared" si="10"/>
        <v>0</v>
      </c>
      <c r="AD47" s="44">
        <f t="shared" si="11"/>
        <v>246811100</v>
      </c>
      <c r="AE47" s="44">
        <f>IFERROR(VLOOKUP(C47,#REF!,5,0),0)</f>
        <v>0</v>
      </c>
      <c r="AF47" s="44">
        <f t="shared" si="12"/>
        <v>0</v>
      </c>
      <c r="AG47" s="44">
        <f t="shared" si="13"/>
        <v>0</v>
      </c>
      <c r="AH47" s="44">
        <f t="shared" si="14"/>
        <v>0</v>
      </c>
      <c r="AI47" s="44">
        <f t="shared" si="15"/>
        <v>0</v>
      </c>
      <c r="AJ47" s="44">
        <f t="shared" si="16"/>
        <v>0</v>
      </c>
      <c r="AK47" s="44">
        <f t="shared" si="17"/>
        <v>0</v>
      </c>
      <c r="AL47" s="43" t="s">
        <v>40</v>
      </c>
      <c r="AM47" s="47">
        <f t="shared" si="18"/>
        <v>4500</v>
      </c>
      <c r="AN47" s="43">
        <v>200</v>
      </c>
      <c r="AO47" s="43">
        <v>900</v>
      </c>
      <c r="AP47" s="48">
        <v>1400</v>
      </c>
      <c r="AQ47" s="3">
        <f t="shared" si="19"/>
        <v>200</v>
      </c>
      <c r="AR47" s="1">
        <f t="shared" si="24"/>
        <v>5800</v>
      </c>
    </row>
    <row r="48" spans="1:44">
      <c r="A48" s="42" t="e">
        <f t="shared" si="1"/>
        <v>#VALUE!</v>
      </c>
      <c r="B48" s="43" t="s">
        <v>26</v>
      </c>
      <c r="C48" s="43" t="s">
        <v>176</v>
      </c>
      <c r="D48" s="43" t="s">
        <v>177</v>
      </c>
      <c r="E48" s="43" t="s">
        <v>4</v>
      </c>
      <c r="F48" s="44">
        <v>7990</v>
      </c>
      <c r="G48" s="44">
        <v>17717</v>
      </c>
      <c r="H48" s="44">
        <v>11507</v>
      </c>
      <c r="I48" s="44">
        <v>16869.6666666667</v>
      </c>
      <c r="J48" s="44">
        <v>25012</v>
      </c>
      <c r="K48" s="44">
        <v>3500</v>
      </c>
      <c r="L48" s="44">
        <v>400</v>
      </c>
      <c r="M48" s="44">
        <v>1900</v>
      </c>
      <c r="N48" s="44">
        <v>0</v>
      </c>
      <c r="O48" s="44">
        <v>2700</v>
      </c>
      <c r="P48" s="44">
        <v>100</v>
      </c>
      <c r="Q48" s="44">
        <v>40</v>
      </c>
      <c r="R48" s="44">
        <v>30412</v>
      </c>
      <c r="S48" s="44">
        <v>54.0828706356577</v>
      </c>
      <c r="T48" s="44">
        <f t="shared" si="2"/>
        <v>3587.88888888889</v>
      </c>
      <c r="U48" s="44">
        <f t="shared" si="3"/>
        <v>1200</v>
      </c>
      <c r="V48" s="44">
        <f t="shared" si="25"/>
        <v>3587.88888888889</v>
      </c>
      <c r="W48" s="45">
        <f t="shared" si="4"/>
        <v>3600</v>
      </c>
      <c r="X48" s="44">
        <f t="shared" si="5"/>
        <v>40.0215376711652</v>
      </c>
      <c r="Y48" s="46">
        <f t="shared" si="6"/>
        <v>28764000</v>
      </c>
      <c r="Z48" s="44">
        <f t="shared" si="7"/>
        <v>141558830</v>
      </c>
      <c r="AA48" s="44">
        <f t="shared" si="8"/>
        <v>91940930</v>
      </c>
      <c r="AB48" s="44">
        <f t="shared" si="9"/>
        <v>134788636.666667</v>
      </c>
      <c r="AC48" s="44">
        <f t="shared" si="10"/>
        <v>0</v>
      </c>
      <c r="AD48" s="44">
        <f t="shared" si="11"/>
        <v>242991880</v>
      </c>
      <c r="AE48" s="44">
        <f>IFERROR(VLOOKUP(C48,#REF!,5,0),0)</f>
        <v>0</v>
      </c>
      <c r="AF48" s="44">
        <f t="shared" si="12"/>
        <v>0</v>
      </c>
      <c r="AG48" s="44">
        <f t="shared" si="13"/>
        <v>0</v>
      </c>
      <c r="AH48" s="44">
        <f t="shared" si="14"/>
        <v>0</v>
      </c>
      <c r="AI48" s="44">
        <f t="shared" si="15"/>
        <v>0</v>
      </c>
      <c r="AJ48" s="44">
        <f t="shared" si="16"/>
        <v>0</v>
      </c>
      <c r="AK48" s="44">
        <f t="shared" si="17"/>
        <v>0</v>
      </c>
      <c r="AL48" s="43" t="s">
        <v>40</v>
      </c>
      <c r="AM48" s="47">
        <f t="shared" si="18"/>
        <v>2400</v>
      </c>
      <c r="AN48" s="43">
        <v>100</v>
      </c>
      <c r="AO48" s="43">
        <v>500</v>
      </c>
      <c r="AP48" s="48">
        <v>1100</v>
      </c>
      <c r="AQ48" s="3">
        <f t="shared" si="19"/>
        <v>100</v>
      </c>
      <c r="AR48" s="1">
        <f t="shared" si="24"/>
        <v>3500</v>
      </c>
    </row>
    <row r="49" spans="1:44">
      <c r="A49" s="42" t="e">
        <f t="shared" si="1"/>
        <v>#VALUE!</v>
      </c>
      <c r="B49" s="43" t="s">
        <v>26</v>
      </c>
      <c r="C49" s="43" t="s">
        <v>178</v>
      </c>
      <c r="D49" s="43" t="s">
        <v>179</v>
      </c>
      <c r="E49" s="43" t="s">
        <v>4</v>
      </c>
      <c r="F49" s="44">
        <v>15300</v>
      </c>
      <c r="G49" s="44">
        <v>3686.33333333333</v>
      </c>
      <c r="H49" s="44">
        <v>4288</v>
      </c>
      <c r="I49" s="44">
        <v>4343.66666666667</v>
      </c>
      <c r="J49" s="44">
        <v>5845</v>
      </c>
      <c r="K49" s="44">
        <v>1200</v>
      </c>
      <c r="L49" s="44">
        <v>200</v>
      </c>
      <c r="M49" s="44">
        <v>300</v>
      </c>
      <c r="N49" s="44">
        <v>0</v>
      </c>
      <c r="O49" s="44">
        <v>1800</v>
      </c>
      <c r="P49" s="44">
        <v>100</v>
      </c>
      <c r="Q49" s="44">
        <v>40</v>
      </c>
      <c r="R49" s="44">
        <v>7345</v>
      </c>
      <c r="S49" s="44">
        <v>50.7290307727726</v>
      </c>
      <c r="T49" s="44">
        <f t="shared" si="2"/>
        <v>2734.55555555556</v>
      </c>
      <c r="U49" s="44">
        <f t="shared" si="3"/>
        <v>1700</v>
      </c>
      <c r="V49" s="44">
        <f t="shared" si="25"/>
        <v>2734.55555555556</v>
      </c>
      <c r="W49" s="45">
        <f t="shared" si="4"/>
        <v>2700</v>
      </c>
      <c r="X49" s="44">
        <f t="shared" si="5"/>
        <v>39.7613383470186</v>
      </c>
      <c r="Y49" s="46">
        <f t="shared" si="6"/>
        <v>41310000</v>
      </c>
      <c r="Z49" s="44">
        <f t="shared" si="7"/>
        <v>56400899.9999999</v>
      </c>
      <c r="AA49" s="44">
        <f t="shared" si="8"/>
        <v>65606400</v>
      </c>
      <c r="AB49" s="44">
        <f t="shared" si="9"/>
        <v>66458100</v>
      </c>
      <c r="AC49" s="44">
        <f t="shared" si="10"/>
        <v>0</v>
      </c>
      <c r="AD49" s="44">
        <f t="shared" si="11"/>
        <v>112378500</v>
      </c>
      <c r="AE49" s="44">
        <f>IFERROR(VLOOKUP(C49,#REF!,5,0),0)</f>
        <v>0</v>
      </c>
      <c r="AF49" s="44">
        <f t="shared" si="12"/>
        <v>0</v>
      </c>
      <c r="AG49" s="44">
        <f t="shared" si="13"/>
        <v>0</v>
      </c>
      <c r="AH49" s="44">
        <f t="shared" si="14"/>
        <v>0</v>
      </c>
      <c r="AI49" s="44">
        <f t="shared" si="15"/>
        <v>0</v>
      </c>
      <c r="AJ49" s="44">
        <f t="shared" si="16"/>
        <v>0</v>
      </c>
      <c r="AK49" s="44">
        <f t="shared" si="17"/>
        <v>0</v>
      </c>
      <c r="AL49" s="43" t="s">
        <v>40</v>
      </c>
      <c r="AM49" s="47">
        <f t="shared" si="18"/>
        <v>1000</v>
      </c>
      <c r="AN49" s="43">
        <v>1200</v>
      </c>
      <c r="AO49" s="43">
        <v>1700</v>
      </c>
      <c r="AP49" s="48">
        <v>2000</v>
      </c>
      <c r="AQ49" s="3">
        <f t="shared" si="19"/>
        <v>1200</v>
      </c>
      <c r="AR49" s="1">
        <f t="shared" si="24"/>
        <v>1500</v>
      </c>
    </row>
    <row r="50" spans="1:44">
      <c r="A50" s="42" t="e">
        <f t="shared" si="1"/>
        <v>#VALUE!</v>
      </c>
      <c r="B50" s="43" t="s">
        <v>26</v>
      </c>
      <c r="C50" s="43" t="s">
        <v>180</v>
      </c>
      <c r="D50" s="43" t="s">
        <v>181</v>
      </c>
      <c r="E50" s="43" t="s">
        <v>5</v>
      </c>
      <c r="F50" s="44">
        <v>17170</v>
      </c>
      <c r="G50" s="44">
        <v>1071.66666666667</v>
      </c>
      <c r="H50" s="44">
        <v>321</v>
      </c>
      <c r="I50" s="44">
        <v>1178.66666666667</v>
      </c>
      <c r="J50" s="44">
        <v>36591</v>
      </c>
      <c r="K50" s="44">
        <v>0</v>
      </c>
      <c r="L50" s="44">
        <v>0</v>
      </c>
      <c r="M50" s="44">
        <v>10000</v>
      </c>
      <c r="N50" s="44">
        <v>0</v>
      </c>
      <c r="O50" s="44">
        <v>0</v>
      </c>
      <c r="P50" s="44">
        <v>100</v>
      </c>
      <c r="Q50" s="44">
        <v>55</v>
      </c>
      <c r="R50" s="44">
        <v>46591</v>
      </c>
      <c r="S50" s="44">
        <v>1185.85690045249</v>
      </c>
      <c r="T50" s="44">
        <f t="shared" si="2"/>
        <v>0</v>
      </c>
      <c r="U50" s="44">
        <f t="shared" si="3"/>
        <v>0</v>
      </c>
      <c r="V50" s="44">
        <f t="shared" si="25"/>
        <v>0</v>
      </c>
      <c r="W50" s="45">
        <f t="shared" si="4"/>
        <v>0</v>
      </c>
      <c r="X50" s="44">
        <f t="shared" si="5"/>
        <v>1177.68665158371</v>
      </c>
      <c r="Y50" s="46">
        <f t="shared" si="6"/>
        <v>0</v>
      </c>
      <c r="Z50" s="44">
        <f t="shared" si="7"/>
        <v>18400516.6666667</v>
      </c>
      <c r="AA50" s="44">
        <f t="shared" si="8"/>
        <v>5511570</v>
      </c>
      <c r="AB50" s="44">
        <f t="shared" si="9"/>
        <v>20237706.6666667</v>
      </c>
      <c r="AC50" s="44">
        <f t="shared" si="10"/>
        <v>0</v>
      </c>
      <c r="AD50" s="44">
        <f t="shared" si="11"/>
        <v>799967470</v>
      </c>
      <c r="AE50" s="44">
        <f>IFERROR(VLOOKUP(C50,#REF!,5,0),0)</f>
        <v>0</v>
      </c>
      <c r="AF50" s="44">
        <f t="shared" si="12"/>
        <v>0</v>
      </c>
      <c r="AG50" s="44">
        <f t="shared" si="13"/>
        <v>0</v>
      </c>
      <c r="AH50" s="44">
        <f t="shared" si="14"/>
        <v>0</v>
      </c>
      <c r="AI50" s="44">
        <f t="shared" si="15"/>
        <v>0</v>
      </c>
      <c r="AJ50" s="44">
        <f t="shared" si="16"/>
        <v>0</v>
      </c>
      <c r="AK50" s="44">
        <f t="shared" si="17"/>
        <v>0</v>
      </c>
      <c r="AL50" s="43" t="s">
        <v>40</v>
      </c>
      <c r="AM50" s="47">
        <f t="shared" si="18"/>
        <v>0</v>
      </c>
      <c r="AN50" s="43">
        <v>0</v>
      </c>
      <c r="AO50" s="43">
        <v>0</v>
      </c>
      <c r="AP50" s="48">
        <v>0</v>
      </c>
      <c r="AQ50" s="3">
        <f t="shared" si="19"/>
        <v>0</v>
      </c>
      <c r="AR50" s="1">
        <f t="shared" si="24"/>
        <v>0</v>
      </c>
    </row>
    <row r="51" spans="1:44">
      <c r="A51" s="42" t="e">
        <f t="shared" si="1"/>
        <v>#VALUE!</v>
      </c>
      <c r="B51" s="43" t="s">
        <v>26</v>
      </c>
      <c r="C51" s="43" t="s">
        <v>182</v>
      </c>
      <c r="D51" s="43" t="s">
        <v>183</v>
      </c>
      <c r="E51" s="43" t="s">
        <v>3</v>
      </c>
      <c r="F51" s="44">
        <v>15300</v>
      </c>
      <c r="G51" s="44">
        <v>38482</v>
      </c>
      <c r="H51" s="44">
        <v>25634</v>
      </c>
      <c r="I51" s="44">
        <v>37999.3333333333</v>
      </c>
      <c r="J51" s="44">
        <v>39473</v>
      </c>
      <c r="K51" s="44">
        <v>7400</v>
      </c>
      <c r="L51" s="44">
        <v>1800</v>
      </c>
      <c r="M51" s="44">
        <v>15200</v>
      </c>
      <c r="N51" s="44">
        <v>0</v>
      </c>
      <c r="O51" s="44">
        <v>15100</v>
      </c>
      <c r="P51" s="44">
        <v>100</v>
      </c>
      <c r="Q51" s="44">
        <v>40</v>
      </c>
      <c r="R51" s="44">
        <v>62073</v>
      </c>
      <c r="S51" s="44">
        <v>49.0058597519255</v>
      </c>
      <c r="T51" s="44">
        <f t="shared" si="2"/>
        <v>14226.7777777778</v>
      </c>
      <c r="U51" s="44">
        <f t="shared" si="3"/>
        <v>1700</v>
      </c>
      <c r="V51" s="44">
        <f t="shared" si="25"/>
        <v>14226.7777777778</v>
      </c>
      <c r="W51" s="45">
        <f t="shared" si="4"/>
        <v>14200</v>
      </c>
      <c r="X51" s="44">
        <f t="shared" si="5"/>
        <v>39.9788592782329</v>
      </c>
      <c r="Y51" s="46">
        <f t="shared" si="6"/>
        <v>217260000</v>
      </c>
      <c r="Z51" s="44">
        <f t="shared" si="7"/>
        <v>588774600</v>
      </c>
      <c r="AA51" s="44">
        <f t="shared" si="8"/>
        <v>392200200</v>
      </c>
      <c r="AB51" s="44">
        <f t="shared" si="9"/>
        <v>581389800</v>
      </c>
      <c r="AC51" s="44">
        <f t="shared" si="10"/>
        <v>0</v>
      </c>
      <c r="AD51" s="44">
        <f t="shared" si="11"/>
        <v>949716900</v>
      </c>
      <c r="AE51" s="44">
        <f>IFERROR(VLOOKUP(C51,#REF!,5,0),0)</f>
        <v>0</v>
      </c>
      <c r="AF51" s="44">
        <f t="shared" si="12"/>
        <v>0</v>
      </c>
      <c r="AG51" s="44">
        <f t="shared" si="13"/>
        <v>0</v>
      </c>
      <c r="AH51" s="44">
        <f t="shared" si="14"/>
        <v>0</v>
      </c>
      <c r="AI51" s="44">
        <f t="shared" si="15"/>
        <v>0</v>
      </c>
      <c r="AJ51" s="44">
        <f t="shared" si="16"/>
        <v>0</v>
      </c>
      <c r="AK51" s="44">
        <f t="shared" si="17"/>
        <v>0</v>
      </c>
      <c r="AL51" s="43" t="s">
        <v>40</v>
      </c>
      <c r="AM51" s="47">
        <f t="shared" si="18"/>
        <v>12500</v>
      </c>
      <c r="AN51" s="43">
        <v>0</v>
      </c>
      <c r="AO51" s="43">
        <v>0</v>
      </c>
      <c r="AP51" s="48">
        <v>700</v>
      </c>
      <c r="AQ51" s="3">
        <f t="shared" si="19"/>
        <v>0</v>
      </c>
      <c r="AR51" s="1">
        <f t="shared" si="24"/>
        <v>14200</v>
      </c>
    </row>
    <row r="52" spans="1:44">
      <c r="A52" s="42" t="e">
        <f t="shared" si="1"/>
        <v>#VALUE!</v>
      </c>
      <c r="B52" s="43" t="s">
        <v>26</v>
      </c>
      <c r="C52" s="43" t="s">
        <v>184</v>
      </c>
      <c r="D52" s="43" t="s">
        <v>185</v>
      </c>
      <c r="E52" s="43" t="s">
        <v>3</v>
      </c>
      <c r="F52" s="44">
        <v>25500</v>
      </c>
      <c r="G52" s="44">
        <v>14877.3333333333</v>
      </c>
      <c r="H52" s="44">
        <v>9890</v>
      </c>
      <c r="I52" s="44">
        <v>14490.3333333333</v>
      </c>
      <c r="J52" s="44">
        <v>17967</v>
      </c>
      <c r="K52" s="44">
        <v>4700</v>
      </c>
      <c r="L52" s="44">
        <v>700</v>
      </c>
      <c r="M52" s="44">
        <v>5510</v>
      </c>
      <c r="N52" s="44">
        <v>0</v>
      </c>
      <c r="O52" s="44">
        <v>3900</v>
      </c>
      <c r="P52" s="44">
        <v>100</v>
      </c>
      <c r="Q52" s="44">
        <v>40</v>
      </c>
      <c r="R52" s="44">
        <v>28177</v>
      </c>
      <c r="S52" s="44">
        <v>58.3361321340664</v>
      </c>
      <c r="T52" s="44">
        <f t="shared" si="2"/>
        <v>1033.44444444444</v>
      </c>
      <c r="U52" s="44">
        <f t="shared" si="3"/>
        <v>0</v>
      </c>
      <c r="V52" s="44">
        <f t="shared" si="25"/>
        <v>1033.44444444444</v>
      </c>
      <c r="W52" s="45">
        <f t="shared" si="4"/>
        <v>1000</v>
      </c>
      <c r="X52" s="44">
        <f t="shared" si="5"/>
        <v>39.9307584366589</v>
      </c>
      <c r="Y52" s="46">
        <f t="shared" si="6"/>
        <v>25500000</v>
      </c>
      <c r="Z52" s="44">
        <f t="shared" si="7"/>
        <v>379371999.999999</v>
      </c>
      <c r="AA52" s="44">
        <f t="shared" si="8"/>
        <v>252195000</v>
      </c>
      <c r="AB52" s="44">
        <f t="shared" si="9"/>
        <v>369503500</v>
      </c>
      <c r="AC52" s="44">
        <f t="shared" si="10"/>
        <v>0</v>
      </c>
      <c r="AD52" s="44">
        <f t="shared" si="11"/>
        <v>718513500</v>
      </c>
      <c r="AE52" s="44">
        <f>IFERROR(VLOOKUP(C52,#REF!,5,0),0)</f>
        <v>0</v>
      </c>
      <c r="AF52" s="44">
        <f t="shared" si="12"/>
        <v>0</v>
      </c>
      <c r="AG52" s="44">
        <f t="shared" si="13"/>
        <v>0</v>
      </c>
      <c r="AH52" s="44">
        <f t="shared" si="14"/>
        <v>0</v>
      </c>
      <c r="AI52" s="44">
        <f t="shared" si="15"/>
        <v>0</v>
      </c>
      <c r="AJ52" s="44">
        <f t="shared" si="16"/>
        <v>0</v>
      </c>
      <c r="AK52" s="44">
        <f t="shared" si="17"/>
        <v>0</v>
      </c>
      <c r="AL52" s="43" t="s">
        <v>40</v>
      </c>
      <c r="AM52" s="47">
        <f t="shared" si="18"/>
        <v>1000</v>
      </c>
      <c r="AN52" s="43">
        <v>0</v>
      </c>
      <c r="AO52" s="43">
        <v>0</v>
      </c>
      <c r="AP52" s="48">
        <v>0</v>
      </c>
      <c r="AQ52" s="3">
        <f t="shared" si="19"/>
        <v>0</v>
      </c>
      <c r="AR52" s="1">
        <f t="shared" si="24"/>
        <v>1000</v>
      </c>
    </row>
    <row r="53" spans="1:44">
      <c r="A53" s="42" t="e">
        <f t="shared" si="1"/>
        <v>#VALUE!</v>
      </c>
      <c r="B53" s="43" t="s">
        <v>26</v>
      </c>
      <c r="C53" s="43" t="s">
        <v>186</v>
      </c>
      <c r="D53" s="43" t="s">
        <v>187</v>
      </c>
      <c r="E53" s="43" t="s">
        <v>3</v>
      </c>
      <c r="F53" s="44">
        <v>12070</v>
      </c>
      <c r="G53" s="44">
        <v>45367.3333333335</v>
      </c>
      <c r="H53" s="44">
        <v>36597</v>
      </c>
      <c r="I53" s="44">
        <v>47601.3333333333</v>
      </c>
      <c r="J53" s="44">
        <v>62098</v>
      </c>
      <c r="K53" s="44">
        <v>12000</v>
      </c>
      <c r="L53" s="44">
        <v>300</v>
      </c>
      <c r="M53" s="44">
        <v>2300</v>
      </c>
      <c r="N53" s="44">
        <v>0</v>
      </c>
      <c r="O53" s="44">
        <v>25700</v>
      </c>
      <c r="P53" s="44">
        <v>100</v>
      </c>
      <c r="Q53" s="44">
        <v>40</v>
      </c>
      <c r="R53" s="44">
        <v>76398</v>
      </c>
      <c r="S53" s="44">
        <v>48.148651298283</v>
      </c>
      <c r="T53" s="44">
        <f t="shared" si="2"/>
        <v>23667.4444444444</v>
      </c>
      <c r="U53" s="44">
        <f t="shared" si="3"/>
        <v>23700</v>
      </c>
      <c r="V53" s="44">
        <f t="shared" si="25"/>
        <v>23700</v>
      </c>
      <c r="W53" s="45">
        <f t="shared" si="4"/>
        <v>23700</v>
      </c>
      <c r="X53" s="44">
        <f t="shared" si="5"/>
        <v>40.0205176325593</v>
      </c>
      <c r="Y53" s="46">
        <f t="shared" si="6"/>
        <v>286059000</v>
      </c>
      <c r="Z53" s="44">
        <f t="shared" si="7"/>
        <v>547583713.333335</v>
      </c>
      <c r="AA53" s="44">
        <f t="shared" si="8"/>
        <v>441725790</v>
      </c>
      <c r="AB53" s="44">
        <f t="shared" si="9"/>
        <v>574548093.333333</v>
      </c>
      <c r="AC53" s="44">
        <f t="shared" si="10"/>
        <v>0</v>
      </c>
      <c r="AD53" s="44">
        <f t="shared" si="11"/>
        <v>922123860</v>
      </c>
      <c r="AE53" s="44">
        <f>IFERROR(VLOOKUP(C53,#REF!,5,0),0)</f>
        <v>0</v>
      </c>
      <c r="AF53" s="44">
        <f t="shared" si="12"/>
        <v>0</v>
      </c>
      <c r="AG53" s="44">
        <f t="shared" si="13"/>
        <v>0</v>
      </c>
      <c r="AH53" s="44">
        <f t="shared" si="14"/>
        <v>0</v>
      </c>
      <c r="AI53" s="44">
        <f t="shared" si="15"/>
        <v>0</v>
      </c>
      <c r="AJ53" s="44">
        <f t="shared" si="16"/>
        <v>0</v>
      </c>
      <c r="AK53" s="44">
        <f t="shared" si="17"/>
        <v>0</v>
      </c>
      <c r="AL53" s="43" t="s">
        <v>40</v>
      </c>
      <c r="AM53" s="47">
        <f t="shared" si="18"/>
        <v>0</v>
      </c>
      <c r="AN53" s="43">
        <v>11100</v>
      </c>
      <c r="AO53" s="43">
        <v>17700</v>
      </c>
      <c r="AP53" s="48">
        <v>24100</v>
      </c>
      <c r="AQ53" s="3">
        <f t="shared" si="19"/>
        <v>11100</v>
      </c>
      <c r="AR53" s="1">
        <f t="shared" si="24"/>
        <v>12600</v>
      </c>
    </row>
    <row r="54" spans="1:44">
      <c r="A54" s="42" t="e">
        <f t="shared" si="1"/>
        <v>#VALUE!</v>
      </c>
      <c r="B54" s="43" t="s">
        <v>26</v>
      </c>
      <c r="C54" s="43" t="s">
        <v>188</v>
      </c>
      <c r="D54" s="43" t="s">
        <v>189</v>
      </c>
      <c r="E54" s="43" t="s">
        <v>3</v>
      </c>
      <c r="F54" s="44">
        <v>25500</v>
      </c>
      <c r="G54" s="44">
        <v>63546.0000000004</v>
      </c>
      <c r="H54" s="44">
        <v>48447</v>
      </c>
      <c r="I54" s="44">
        <v>65249.3333333333</v>
      </c>
      <c r="J54" s="44">
        <v>71693</v>
      </c>
      <c r="K54" s="44">
        <v>11400</v>
      </c>
      <c r="L54" s="44">
        <v>1800</v>
      </c>
      <c r="M54" s="44">
        <v>37700</v>
      </c>
      <c r="N54" s="44">
        <v>0</v>
      </c>
      <c r="O54" s="44">
        <v>24700</v>
      </c>
      <c r="P54" s="44">
        <v>100</v>
      </c>
      <c r="Q54" s="44">
        <v>40</v>
      </c>
      <c r="R54" s="44">
        <v>120793</v>
      </c>
      <c r="S54" s="44">
        <v>55.5375789280095</v>
      </c>
      <c r="T54" s="44">
        <f t="shared" si="2"/>
        <v>14653.1111111111</v>
      </c>
      <c r="U54" s="44">
        <f t="shared" si="3"/>
        <v>0</v>
      </c>
      <c r="V54" s="44">
        <f t="shared" si="25"/>
        <v>14653.1111111111</v>
      </c>
      <c r="W54" s="45">
        <f t="shared" si="4"/>
        <v>14700</v>
      </c>
      <c r="X54" s="44">
        <f t="shared" si="5"/>
        <v>40.0215583300979</v>
      </c>
      <c r="Y54" s="46">
        <f t="shared" si="6"/>
        <v>374850000</v>
      </c>
      <c r="Z54" s="44">
        <f t="shared" si="7"/>
        <v>1620423000.00001</v>
      </c>
      <c r="AA54" s="44">
        <f t="shared" si="8"/>
        <v>1235398500</v>
      </c>
      <c r="AB54" s="44">
        <f t="shared" si="9"/>
        <v>1663858000</v>
      </c>
      <c r="AC54" s="44">
        <f t="shared" si="10"/>
        <v>0</v>
      </c>
      <c r="AD54" s="44">
        <f t="shared" si="11"/>
        <v>3080221500</v>
      </c>
      <c r="AE54" s="44">
        <f>IFERROR(VLOOKUP(C54,#REF!,5,0),0)</f>
        <v>0</v>
      </c>
      <c r="AF54" s="44">
        <f t="shared" si="12"/>
        <v>0</v>
      </c>
      <c r="AG54" s="44">
        <f t="shared" si="13"/>
        <v>0</v>
      </c>
      <c r="AH54" s="44">
        <f t="shared" si="14"/>
        <v>0</v>
      </c>
      <c r="AI54" s="44">
        <f t="shared" si="15"/>
        <v>0</v>
      </c>
      <c r="AJ54" s="44">
        <f t="shared" si="16"/>
        <v>0</v>
      </c>
      <c r="AK54" s="44">
        <f t="shared" si="17"/>
        <v>0</v>
      </c>
      <c r="AL54" s="43" t="s">
        <v>40</v>
      </c>
      <c r="AM54" s="47">
        <f t="shared" si="18"/>
        <v>14700</v>
      </c>
      <c r="AN54" s="43">
        <v>0</v>
      </c>
      <c r="AO54" s="43">
        <v>0</v>
      </c>
      <c r="AP54" s="48">
        <v>0</v>
      </c>
      <c r="AQ54" s="3">
        <f t="shared" si="19"/>
        <v>0</v>
      </c>
      <c r="AR54" s="1">
        <f t="shared" si="24"/>
        <v>14700</v>
      </c>
    </row>
    <row r="55" spans="1:44">
      <c r="A55" s="42" t="e">
        <f t="shared" si="1"/>
        <v>#VALUE!</v>
      </c>
      <c r="B55" s="43" t="s">
        <v>26</v>
      </c>
      <c r="C55" s="43" t="s">
        <v>190</v>
      </c>
      <c r="D55" s="43" t="s">
        <v>191</v>
      </c>
      <c r="E55" s="43" t="s">
        <v>3</v>
      </c>
      <c r="F55" s="44">
        <v>15300</v>
      </c>
      <c r="G55" s="44">
        <v>277644</v>
      </c>
      <c r="H55" s="44">
        <v>194723</v>
      </c>
      <c r="I55" s="44">
        <v>266045.333333333</v>
      </c>
      <c r="J55" s="44">
        <v>291519</v>
      </c>
      <c r="K55" s="44">
        <v>43500</v>
      </c>
      <c r="L55" s="44">
        <v>16700</v>
      </c>
      <c r="M55" s="44">
        <v>73000</v>
      </c>
      <c r="N55" s="44">
        <v>17500</v>
      </c>
      <c r="O55" s="44">
        <v>77300</v>
      </c>
      <c r="P55" s="44">
        <v>100</v>
      </c>
      <c r="Q55" s="44">
        <v>40</v>
      </c>
      <c r="R55" s="44">
        <v>408019</v>
      </c>
      <c r="S55" s="44">
        <v>46.0093392604769</v>
      </c>
      <c r="T55" s="44">
        <f t="shared" si="2"/>
        <v>123931.111111111</v>
      </c>
      <c r="U55" s="44">
        <f t="shared" si="3"/>
        <v>3500</v>
      </c>
      <c r="V55" s="44">
        <v>100000</v>
      </c>
      <c r="W55" s="45">
        <f t="shared" si="4"/>
        <v>100000</v>
      </c>
      <c r="X55" s="44">
        <f t="shared" si="5"/>
        <v>37.3014624074093</v>
      </c>
      <c r="Y55" s="46">
        <f t="shared" si="6"/>
        <v>1530000000</v>
      </c>
      <c r="Z55" s="44">
        <f t="shared" si="7"/>
        <v>4247953199.99999</v>
      </c>
      <c r="AA55" s="44">
        <f t="shared" si="8"/>
        <v>2979261900</v>
      </c>
      <c r="AB55" s="44">
        <f t="shared" si="9"/>
        <v>4070493600</v>
      </c>
      <c r="AC55" s="44">
        <f t="shared" si="10"/>
        <v>267750000</v>
      </c>
      <c r="AD55" s="44">
        <f t="shared" si="11"/>
        <v>6242690700</v>
      </c>
      <c r="AE55" s="44">
        <f>IFERROR(VLOOKUP(C55,#REF!,5,0),0)</f>
        <v>0</v>
      </c>
      <c r="AF55" s="44">
        <f t="shared" si="12"/>
        <v>0</v>
      </c>
      <c r="AG55" s="44">
        <f t="shared" si="13"/>
        <v>0</v>
      </c>
      <c r="AH55" s="44">
        <f t="shared" si="14"/>
        <v>0</v>
      </c>
      <c r="AI55" s="44">
        <f t="shared" si="15"/>
        <v>0</v>
      </c>
      <c r="AJ55" s="44">
        <f t="shared" si="16"/>
        <v>0</v>
      </c>
      <c r="AK55" s="44">
        <f t="shared" si="17"/>
        <v>0</v>
      </c>
      <c r="AL55" s="43" t="s">
        <v>40</v>
      </c>
      <c r="AM55" s="47">
        <f t="shared" si="18"/>
        <v>96500</v>
      </c>
      <c r="AN55" s="43">
        <v>0</v>
      </c>
      <c r="AO55" s="43">
        <v>0</v>
      </c>
      <c r="AP55" s="48">
        <v>0</v>
      </c>
      <c r="AQ55" s="3">
        <f t="shared" si="19"/>
        <v>0</v>
      </c>
      <c r="AR55" s="1">
        <f t="shared" si="24"/>
        <v>100000</v>
      </c>
    </row>
    <row r="56" spans="1:44">
      <c r="A56" s="42" t="e">
        <f t="shared" si="1"/>
        <v>#VALUE!</v>
      </c>
      <c r="B56" s="43" t="s">
        <v>26</v>
      </c>
      <c r="C56" s="43" t="s">
        <v>192</v>
      </c>
      <c r="D56" s="43" t="s">
        <v>193</v>
      </c>
      <c r="E56" s="43" t="s">
        <v>3</v>
      </c>
      <c r="F56" s="44">
        <v>28560</v>
      </c>
      <c r="G56" s="44">
        <v>68645.6666666666</v>
      </c>
      <c r="H56" s="44">
        <v>54803</v>
      </c>
      <c r="I56" s="44">
        <v>72307.3333333333</v>
      </c>
      <c r="J56" s="44">
        <v>0</v>
      </c>
      <c r="K56" s="44">
        <v>4200</v>
      </c>
      <c r="L56" s="44">
        <v>300</v>
      </c>
      <c r="M56" s="44">
        <v>0</v>
      </c>
      <c r="N56" s="44">
        <v>0</v>
      </c>
      <c r="O56" s="44">
        <v>34700</v>
      </c>
      <c r="P56" s="44">
        <v>100</v>
      </c>
      <c r="Q56" s="44">
        <v>40</v>
      </c>
      <c r="R56" s="44">
        <v>4200</v>
      </c>
      <c r="S56" s="44">
        <v>1.7425618425056</v>
      </c>
      <c r="T56" s="44">
        <f t="shared" si="2"/>
        <v>147012.777777778</v>
      </c>
      <c r="U56" s="44">
        <f t="shared" si="3"/>
        <v>35000</v>
      </c>
      <c r="V56" s="44">
        <v>120000</v>
      </c>
      <c r="W56" s="45">
        <f t="shared" si="4"/>
        <v>120000</v>
      </c>
      <c r="X56" s="44">
        <f t="shared" si="5"/>
        <v>28.7925152819908</v>
      </c>
      <c r="Y56" s="46">
        <f t="shared" si="6"/>
        <v>3427200000</v>
      </c>
      <c r="Z56" s="44">
        <f t="shared" si="7"/>
        <v>1960520240</v>
      </c>
      <c r="AA56" s="44">
        <f t="shared" si="8"/>
        <v>1565173680</v>
      </c>
      <c r="AB56" s="44">
        <f t="shared" si="9"/>
        <v>2065097440</v>
      </c>
      <c r="AC56" s="44">
        <f t="shared" si="10"/>
        <v>0</v>
      </c>
      <c r="AD56" s="44">
        <f t="shared" si="11"/>
        <v>119952000</v>
      </c>
      <c r="AE56" s="44">
        <f>IFERROR(VLOOKUP(C56,#REF!,5,0),0)</f>
        <v>0</v>
      </c>
      <c r="AF56" s="44">
        <f t="shared" si="12"/>
        <v>0</v>
      </c>
      <c r="AG56" s="44">
        <f t="shared" si="13"/>
        <v>0</v>
      </c>
      <c r="AH56" s="44">
        <f t="shared" si="14"/>
        <v>0</v>
      </c>
      <c r="AI56" s="44">
        <f t="shared" si="15"/>
        <v>0</v>
      </c>
      <c r="AJ56" s="44">
        <f t="shared" si="16"/>
        <v>0</v>
      </c>
      <c r="AK56" s="44">
        <f t="shared" si="17"/>
        <v>0</v>
      </c>
      <c r="AL56" s="43" t="s">
        <v>40</v>
      </c>
      <c r="AM56" s="47">
        <f t="shared" si="18"/>
        <v>85000</v>
      </c>
      <c r="AN56" s="43">
        <v>0</v>
      </c>
      <c r="AO56" s="43">
        <v>0</v>
      </c>
      <c r="AP56" s="48">
        <v>0</v>
      </c>
      <c r="AQ56" s="3">
        <f t="shared" si="19"/>
        <v>0</v>
      </c>
      <c r="AR56" s="1">
        <f t="shared" si="24"/>
        <v>120000</v>
      </c>
    </row>
    <row r="57" spans="1:44">
      <c r="A57" s="42" t="e">
        <f t="shared" si="1"/>
        <v>#VALUE!</v>
      </c>
      <c r="B57" s="43" t="s">
        <v>26</v>
      </c>
      <c r="C57" s="43" t="s">
        <v>194</v>
      </c>
      <c r="D57" s="43" t="s">
        <v>195</v>
      </c>
      <c r="E57" s="43" t="s">
        <v>4</v>
      </c>
      <c r="F57" s="44">
        <v>10080</v>
      </c>
      <c r="G57" s="44">
        <v>-228.666666666667</v>
      </c>
      <c r="H57" s="44">
        <v>0</v>
      </c>
      <c r="I57" s="44">
        <v>-119.666666666667</v>
      </c>
      <c r="J57" s="44">
        <v>0</v>
      </c>
      <c r="K57" s="44">
        <v>0</v>
      </c>
      <c r="L57" s="44">
        <v>0</v>
      </c>
      <c r="M57" s="44">
        <v>0</v>
      </c>
      <c r="N57" s="44">
        <v>0</v>
      </c>
      <c r="O57" s="44">
        <v>0</v>
      </c>
      <c r="P57" s="44">
        <v>144</v>
      </c>
      <c r="Q57" s="44">
        <v>55</v>
      </c>
      <c r="R57" s="44">
        <v>0</v>
      </c>
      <c r="S57" s="44">
        <v>0</v>
      </c>
      <c r="T57" s="44">
        <f t="shared" si="2"/>
        <v>0</v>
      </c>
      <c r="U57" s="44">
        <f t="shared" si="3"/>
        <v>0</v>
      </c>
      <c r="V57" s="44">
        <f>IFERROR(IF(OR(I57&lt;=0,H57&lt;=0),0,IF(AND((J57+K57+M57+U57+N57-H57)/G57*30&lt;1.5*Q57,U57&gt;T57),U57,T57)),0)</f>
        <v>0</v>
      </c>
      <c r="W57" s="45">
        <f t="shared" si="4"/>
        <v>0</v>
      </c>
      <c r="X57" s="44">
        <f t="shared" si="5"/>
        <v>0</v>
      </c>
      <c r="Y57" s="46">
        <f t="shared" si="6"/>
        <v>0</v>
      </c>
      <c r="Z57" s="44">
        <f t="shared" si="7"/>
        <v>-2304960</v>
      </c>
      <c r="AA57" s="44">
        <f t="shared" si="8"/>
        <v>0</v>
      </c>
      <c r="AB57" s="44">
        <f t="shared" si="9"/>
        <v>-1206240</v>
      </c>
      <c r="AC57" s="44">
        <f t="shared" si="10"/>
        <v>0</v>
      </c>
      <c r="AD57" s="44">
        <f t="shared" si="11"/>
        <v>0</v>
      </c>
      <c r="AE57" s="44">
        <f>IFERROR(VLOOKUP(C57,#REF!,5,0),0)</f>
        <v>0</v>
      </c>
      <c r="AF57" s="44">
        <f t="shared" si="12"/>
        <v>0</v>
      </c>
      <c r="AG57" s="44">
        <f t="shared" si="13"/>
        <v>0</v>
      </c>
      <c r="AH57" s="44">
        <f t="shared" si="14"/>
        <v>0</v>
      </c>
      <c r="AI57" s="44">
        <f t="shared" si="15"/>
        <v>0</v>
      </c>
      <c r="AJ57" s="44">
        <f t="shared" si="16"/>
        <v>0</v>
      </c>
      <c r="AK57" s="44">
        <f t="shared" si="17"/>
        <v>0</v>
      </c>
      <c r="AL57" s="43" t="s">
        <v>40</v>
      </c>
      <c r="AM57" s="47">
        <f t="shared" si="18"/>
        <v>0</v>
      </c>
      <c r="AN57" s="43">
        <v>0</v>
      </c>
      <c r="AO57" s="43">
        <v>0</v>
      </c>
      <c r="AP57" s="48">
        <v>0</v>
      </c>
      <c r="AQ57" s="3">
        <f t="shared" si="19"/>
        <v>0</v>
      </c>
      <c r="AR57" s="1">
        <f t="shared" si="24"/>
        <v>0</v>
      </c>
    </row>
    <row r="58" spans="1:44">
      <c r="A58" s="42" t="e">
        <f t="shared" si="1"/>
        <v>#VALUE!</v>
      </c>
      <c r="B58" s="43" t="s">
        <v>26</v>
      </c>
      <c r="C58" s="43" t="s">
        <v>196</v>
      </c>
      <c r="D58" s="43" t="s">
        <v>197</v>
      </c>
      <c r="E58" s="43" t="s">
        <v>3</v>
      </c>
      <c r="F58" s="44">
        <v>25500</v>
      </c>
      <c r="G58" s="44">
        <v>66239.3333333329</v>
      </c>
      <c r="H58" s="44">
        <v>45758</v>
      </c>
      <c r="I58" s="44">
        <v>67180</v>
      </c>
      <c r="J58" s="44">
        <v>61315</v>
      </c>
      <c r="K58" s="44">
        <v>13100</v>
      </c>
      <c r="L58" s="44">
        <v>900</v>
      </c>
      <c r="M58" s="44">
        <v>26104</v>
      </c>
      <c r="N58" s="44">
        <v>0</v>
      </c>
      <c r="O58" s="44">
        <v>30000</v>
      </c>
      <c r="P58" s="44">
        <v>100</v>
      </c>
      <c r="Q58" s="44">
        <v>40</v>
      </c>
      <c r="R58" s="44">
        <v>100519</v>
      </c>
      <c r="S58" s="44">
        <v>44.8879130693659</v>
      </c>
      <c r="T58" s="44">
        <f t="shared" si="2"/>
        <v>34812.3333333333</v>
      </c>
      <c r="U58" s="44">
        <f t="shared" si="3"/>
        <v>4796</v>
      </c>
      <c r="V58" s="44">
        <f>IFERROR(IF(OR(I58&lt;=0,H58&lt;=0),0,IF(AND((J58+K58+M58+U58+N58-H58)/G58*30&lt;1.5*Q58,U58&gt;T58),U58,T58)),0)</f>
        <v>34812.3333333333</v>
      </c>
      <c r="W58" s="45">
        <f t="shared" si="4"/>
        <v>34800</v>
      </c>
      <c r="X58" s="44">
        <f t="shared" si="5"/>
        <v>39.9944924084549</v>
      </c>
      <c r="Y58" s="46">
        <f t="shared" si="6"/>
        <v>887400000</v>
      </c>
      <c r="Z58" s="44">
        <f t="shared" si="7"/>
        <v>1689102999.99999</v>
      </c>
      <c r="AA58" s="44">
        <f t="shared" si="8"/>
        <v>1166829000</v>
      </c>
      <c r="AB58" s="44">
        <f t="shared" si="9"/>
        <v>1713090000</v>
      </c>
      <c r="AC58" s="44">
        <f t="shared" si="10"/>
        <v>0</v>
      </c>
      <c r="AD58" s="44">
        <f t="shared" si="11"/>
        <v>2563234500</v>
      </c>
      <c r="AE58" s="44">
        <f>IFERROR(VLOOKUP(C58,#REF!,5,0),0)</f>
        <v>0</v>
      </c>
      <c r="AF58" s="44">
        <f t="shared" si="12"/>
        <v>0</v>
      </c>
      <c r="AG58" s="44">
        <f t="shared" si="13"/>
        <v>0</v>
      </c>
      <c r="AH58" s="44">
        <f t="shared" si="14"/>
        <v>0</v>
      </c>
      <c r="AI58" s="44">
        <f t="shared" si="15"/>
        <v>0</v>
      </c>
      <c r="AJ58" s="44">
        <f t="shared" si="16"/>
        <v>0</v>
      </c>
      <c r="AK58" s="44">
        <f t="shared" si="17"/>
        <v>0</v>
      </c>
      <c r="AL58" s="43" t="s">
        <v>40</v>
      </c>
      <c r="AM58" s="47">
        <f t="shared" si="18"/>
        <v>30004</v>
      </c>
      <c r="AN58" s="43">
        <v>0</v>
      </c>
      <c r="AO58" s="43">
        <v>0</v>
      </c>
      <c r="AP58" s="48">
        <v>4696</v>
      </c>
      <c r="AQ58" s="3">
        <f t="shared" si="19"/>
        <v>0</v>
      </c>
      <c r="AR58" s="1">
        <f t="shared" si="24"/>
        <v>34800</v>
      </c>
    </row>
    <row r="59" spans="1:44">
      <c r="A59" s="42" t="e">
        <f t="shared" si="1"/>
        <v>#VALUE!</v>
      </c>
      <c r="B59" s="43" t="s">
        <v>26</v>
      </c>
      <c r="C59" s="43" t="s">
        <v>198</v>
      </c>
      <c r="D59" s="43" t="s">
        <v>199</v>
      </c>
      <c r="E59" s="43" t="s">
        <v>3</v>
      </c>
      <c r="F59" s="44">
        <v>11390</v>
      </c>
      <c r="G59" s="44">
        <v>51310</v>
      </c>
      <c r="H59" s="44">
        <v>44339</v>
      </c>
      <c r="I59" s="44">
        <v>53907.6666666667</v>
      </c>
      <c r="J59" s="44">
        <v>86590</v>
      </c>
      <c r="K59" s="44">
        <v>7900</v>
      </c>
      <c r="L59" s="44">
        <v>300</v>
      </c>
      <c r="M59" s="44">
        <v>29800</v>
      </c>
      <c r="N59" s="44">
        <v>0</v>
      </c>
      <c r="O59" s="44">
        <v>16100</v>
      </c>
      <c r="P59" s="44">
        <v>100</v>
      </c>
      <c r="Q59" s="44">
        <v>40</v>
      </c>
      <c r="R59" s="44">
        <v>124290</v>
      </c>
      <c r="S59" s="44">
        <v>69.1682692010413</v>
      </c>
      <c r="T59" s="44">
        <f t="shared" si="2"/>
        <v>0</v>
      </c>
      <c r="U59" s="44">
        <f t="shared" si="3"/>
        <v>0</v>
      </c>
      <c r="V59" s="44">
        <f>IFERROR(IF(OR(I59&lt;=0,H59&lt;=0),0,IF(AND((J59+K59+M59+U59+N59-H59)/G59*30&lt;1.5*Q59,U59&gt;T59),U59,T59)),0)</f>
        <v>0</v>
      </c>
      <c r="W59" s="45">
        <f t="shared" si="4"/>
        <v>0</v>
      </c>
      <c r="X59" s="44">
        <f t="shared" si="5"/>
        <v>44.4933002726885</v>
      </c>
      <c r="Y59" s="46">
        <f t="shared" si="6"/>
        <v>0</v>
      </c>
      <c r="Z59" s="44">
        <f t="shared" si="7"/>
        <v>584420900</v>
      </c>
      <c r="AA59" s="44">
        <f t="shared" si="8"/>
        <v>505021210</v>
      </c>
      <c r="AB59" s="44">
        <f t="shared" si="9"/>
        <v>614008323.333333</v>
      </c>
      <c r="AC59" s="44">
        <f t="shared" si="10"/>
        <v>0</v>
      </c>
      <c r="AD59" s="44">
        <f t="shared" si="11"/>
        <v>1415663100</v>
      </c>
      <c r="AE59" s="44">
        <f>IFERROR(VLOOKUP(C59,#REF!,5,0),0)</f>
        <v>0</v>
      </c>
      <c r="AF59" s="44">
        <f t="shared" si="12"/>
        <v>0</v>
      </c>
      <c r="AG59" s="44">
        <f t="shared" si="13"/>
        <v>0</v>
      </c>
      <c r="AH59" s="44">
        <f t="shared" si="14"/>
        <v>0</v>
      </c>
      <c r="AI59" s="44">
        <f t="shared" si="15"/>
        <v>0</v>
      </c>
      <c r="AJ59" s="44">
        <f t="shared" si="16"/>
        <v>0</v>
      </c>
      <c r="AK59" s="44">
        <f t="shared" si="17"/>
        <v>0</v>
      </c>
      <c r="AL59" s="43" t="s">
        <v>40</v>
      </c>
      <c r="AM59" s="47">
        <f t="shared" si="18"/>
        <v>0</v>
      </c>
      <c r="AN59" s="43">
        <v>0</v>
      </c>
      <c r="AO59" s="43">
        <v>0</v>
      </c>
      <c r="AP59" s="48">
        <v>0</v>
      </c>
      <c r="AQ59" s="3">
        <f t="shared" si="19"/>
        <v>0</v>
      </c>
      <c r="AR59" s="1">
        <f t="shared" si="24"/>
        <v>0</v>
      </c>
    </row>
    <row r="60" spans="1:44">
      <c r="A60" s="42" t="e">
        <f t="shared" si="1"/>
        <v>#VALUE!</v>
      </c>
      <c r="B60" s="43" t="s">
        <v>26</v>
      </c>
      <c r="C60" s="43" t="s">
        <v>200</v>
      </c>
      <c r="D60" s="43" t="s">
        <v>201</v>
      </c>
      <c r="E60" s="43" t="s">
        <v>3</v>
      </c>
      <c r="F60" s="44">
        <v>17170</v>
      </c>
      <c r="G60" s="44">
        <v>117572</v>
      </c>
      <c r="H60" s="44">
        <v>91488</v>
      </c>
      <c r="I60" s="44">
        <v>121293</v>
      </c>
      <c r="J60" s="44">
        <v>147541</v>
      </c>
      <c r="K60" s="44">
        <v>16600</v>
      </c>
      <c r="L60" s="44">
        <v>600</v>
      </c>
      <c r="M60" s="44">
        <v>68000</v>
      </c>
      <c r="N60" s="44">
        <v>0</v>
      </c>
      <c r="O60" s="44">
        <v>38600</v>
      </c>
      <c r="P60" s="44">
        <v>100</v>
      </c>
      <c r="Q60" s="44">
        <v>40</v>
      </c>
      <c r="R60" s="44">
        <v>232141</v>
      </c>
      <c r="S60" s="44">
        <v>57.4165862828028</v>
      </c>
      <c r="T60" s="44">
        <f t="shared" si="2"/>
        <v>21071</v>
      </c>
      <c r="U60" s="44">
        <f t="shared" si="3"/>
        <v>0</v>
      </c>
      <c r="V60" s="44">
        <f>IFERROR(IF(OR(I60&lt;=0,H60&lt;=0),0,IF(AND((J60+K60+M60+U60+N60-H60)/G60*30&lt;1.5*Q60,U60&gt;T60),U60,T60)),0)</f>
        <v>21071</v>
      </c>
      <c r="W60" s="45">
        <f t="shared" si="4"/>
        <v>21100</v>
      </c>
      <c r="X60" s="44">
        <f t="shared" si="5"/>
        <v>40.0071727140066</v>
      </c>
      <c r="Y60" s="46">
        <f t="shared" si="6"/>
        <v>362287000</v>
      </c>
      <c r="Z60" s="44">
        <f t="shared" si="7"/>
        <v>2018711240</v>
      </c>
      <c r="AA60" s="44">
        <f t="shared" si="8"/>
        <v>1570848960</v>
      </c>
      <c r="AB60" s="44">
        <f t="shared" si="9"/>
        <v>2082600810</v>
      </c>
      <c r="AC60" s="44">
        <f t="shared" si="10"/>
        <v>0</v>
      </c>
      <c r="AD60" s="44">
        <f t="shared" si="11"/>
        <v>3985860970</v>
      </c>
      <c r="AE60" s="44">
        <f>IFERROR(VLOOKUP(C60,#REF!,5,0),0)</f>
        <v>0</v>
      </c>
      <c r="AF60" s="44">
        <f t="shared" si="12"/>
        <v>0</v>
      </c>
      <c r="AG60" s="44">
        <f t="shared" si="13"/>
        <v>0</v>
      </c>
      <c r="AH60" s="44">
        <f t="shared" si="14"/>
        <v>0</v>
      </c>
      <c r="AI60" s="44">
        <f t="shared" si="15"/>
        <v>0</v>
      </c>
      <c r="AJ60" s="44">
        <f t="shared" si="16"/>
        <v>0</v>
      </c>
      <c r="AK60" s="44">
        <f t="shared" si="17"/>
        <v>0</v>
      </c>
      <c r="AL60" s="43" t="s">
        <v>40</v>
      </c>
      <c r="AM60" s="47">
        <f t="shared" si="18"/>
        <v>21100</v>
      </c>
      <c r="AN60" s="43">
        <v>0</v>
      </c>
      <c r="AO60" s="43">
        <v>0</v>
      </c>
      <c r="AP60" s="48">
        <v>0</v>
      </c>
      <c r="AQ60" s="3">
        <f t="shared" si="19"/>
        <v>0</v>
      </c>
      <c r="AR60" s="1">
        <f t="shared" si="24"/>
        <v>21100</v>
      </c>
    </row>
    <row r="61" spans="1:44">
      <c r="A61" s="42" t="e">
        <f t="shared" si="1"/>
        <v>#VALUE!</v>
      </c>
      <c r="B61" s="43" t="s">
        <v>26</v>
      </c>
      <c r="C61" s="43" t="s">
        <v>202</v>
      </c>
      <c r="D61" s="43" t="s">
        <v>203</v>
      </c>
      <c r="E61" s="43" t="s">
        <v>3</v>
      </c>
      <c r="F61" s="44">
        <v>22865</v>
      </c>
      <c r="G61" s="44">
        <v>49424.3333333334</v>
      </c>
      <c r="H61" s="44">
        <v>33384</v>
      </c>
      <c r="I61" s="44">
        <v>45467</v>
      </c>
      <c r="J61" s="44">
        <v>82266</v>
      </c>
      <c r="K61" s="44">
        <v>12200</v>
      </c>
      <c r="L61" s="44">
        <v>100</v>
      </c>
      <c r="M61" s="44">
        <v>41900</v>
      </c>
      <c r="N61" s="44">
        <v>0</v>
      </c>
      <c r="O61" s="44">
        <v>2100</v>
      </c>
      <c r="P61" s="44">
        <v>100</v>
      </c>
      <c r="Q61" s="44">
        <v>55</v>
      </c>
      <c r="R61" s="44">
        <v>136366</v>
      </c>
      <c r="S61" s="44">
        <v>89.9769063276662</v>
      </c>
      <c r="T61" s="44">
        <f t="shared" si="2"/>
        <v>0</v>
      </c>
      <c r="U61" s="44">
        <f t="shared" si="3"/>
        <v>0</v>
      </c>
      <c r="V61" s="44">
        <f>IFERROR(IF(OR(I61&lt;=0,H61&lt;=0),0,IF(AND((J61+K61+M61+U61+N61-H61)/G61*30&lt;1.5*Q61,U61&gt;T61),U61,T61)),0)</f>
        <v>0</v>
      </c>
      <c r="W61" s="45">
        <f t="shared" si="4"/>
        <v>0</v>
      </c>
      <c r="X61" s="44">
        <f t="shared" si="5"/>
        <v>67.9495018364968</v>
      </c>
      <c r="Y61" s="46">
        <f t="shared" si="6"/>
        <v>0</v>
      </c>
      <c r="Z61" s="44">
        <f t="shared" si="7"/>
        <v>1130087381.66667</v>
      </c>
      <c r="AA61" s="44">
        <f t="shared" si="8"/>
        <v>763325160</v>
      </c>
      <c r="AB61" s="44">
        <f t="shared" si="9"/>
        <v>1039602955</v>
      </c>
      <c r="AC61" s="44">
        <f t="shared" si="10"/>
        <v>0</v>
      </c>
      <c r="AD61" s="44">
        <f t="shared" si="11"/>
        <v>3118008590</v>
      </c>
      <c r="AE61" s="44">
        <f>IFERROR(VLOOKUP(C61,#REF!,5,0),0)</f>
        <v>0</v>
      </c>
      <c r="AF61" s="44">
        <f t="shared" si="12"/>
        <v>0</v>
      </c>
      <c r="AG61" s="44">
        <f t="shared" si="13"/>
        <v>0</v>
      </c>
      <c r="AH61" s="44">
        <f t="shared" si="14"/>
        <v>0</v>
      </c>
      <c r="AI61" s="44">
        <f t="shared" si="15"/>
        <v>0</v>
      </c>
      <c r="AJ61" s="44">
        <f t="shared" si="16"/>
        <v>0</v>
      </c>
      <c r="AK61" s="44">
        <f t="shared" si="17"/>
        <v>0</v>
      </c>
      <c r="AL61" s="43" t="s">
        <v>40</v>
      </c>
      <c r="AM61" s="47">
        <f t="shared" si="18"/>
        <v>0</v>
      </c>
      <c r="AN61" s="43">
        <v>0</v>
      </c>
      <c r="AO61" s="43">
        <v>0</v>
      </c>
      <c r="AP61" s="48">
        <v>0</v>
      </c>
      <c r="AQ61" s="3">
        <f t="shared" si="19"/>
        <v>0</v>
      </c>
      <c r="AR61" s="1">
        <f t="shared" si="24"/>
        <v>0</v>
      </c>
    </row>
    <row r="62" spans="1:44">
      <c r="A62" s="42" t="e">
        <f t="shared" si="1"/>
        <v>#VALUE!</v>
      </c>
      <c r="B62" s="43" t="s">
        <v>26</v>
      </c>
      <c r="C62" s="43" t="s">
        <v>204</v>
      </c>
      <c r="D62" s="43" t="s">
        <v>205</v>
      </c>
      <c r="E62" s="43" t="s">
        <v>3</v>
      </c>
      <c r="F62" s="44">
        <v>15300</v>
      </c>
      <c r="G62" s="44">
        <v>180548</v>
      </c>
      <c r="H62" s="44">
        <v>133701</v>
      </c>
      <c r="I62" s="44">
        <v>180692.333333333</v>
      </c>
      <c r="J62" s="44">
        <v>170482</v>
      </c>
      <c r="K62" s="44">
        <v>20200</v>
      </c>
      <c r="L62" s="44">
        <v>8500</v>
      </c>
      <c r="M62" s="44">
        <v>120020</v>
      </c>
      <c r="N62" s="44">
        <v>0</v>
      </c>
      <c r="O62" s="44">
        <v>73400</v>
      </c>
      <c r="P62" s="44">
        <v>100</v>
      </c>
      <c r="Q62" s="44">
        <v>40</v>
      </c>
      <c r="R62" s="44">
        <v>310702</v>
      </c>
      <c r="S62" s="44">
        <v>51.5852544933653</v>
      </c>
      <c r="T62" s="44">
        <f t="shared" si="2"/>
        <v>63922.1111111111</v>
      </c>
      <c r="U62" s="44">
        <f t="shared" si="3"/>
        <v>0</v>
      </c>
      <c r="V62" s="44">
        <v>50000</v>
      </c>
      <c r="W62" s="45">
        <f t="shared" si="4"/>
        <v>50000</v>
      </c>
      <c r="X62" s="44">
        <f t="shared" si="5"/>
        <v>37.6885387131348</v>
      </c>
      <c r="Y62" s="46">
        <f t="shared" si="6"/>
        <v>765000000</v>
      </c>
      <c r="Z62" s="44">
        <f t="shared" si="7"/>
        <v>2762384400</v>
      </c>
      <c r="AA62" s="44">
        <f t="shared" si="8"/>
        <v>2045625300</v>
      </c>
      <c r="AB62" s="44">
        <f t="shared" si="9"/>
        <v>2764592700</v>
      </c>
      <c r="AC62" s="44">
        <f t="shared" si="10"/>
        <v>0</v>
      </c>
      <c r="AD62" s="44">
        <f t="shared" si="11"/>
        <v>4753740600</v>
      </c>
      <c r="AE62" s="44">
        <f>IFERROR(VLOOKUP(C62,#REF!,5,0),0)</f>
        <v>0</v>
      </c>
      <c r="AF62" s="44">
        <f t="shared" si="12"/>
        <v>0</v>
      </c>
      <c r="AG62" s="44">
        <f t="shared" si="13"/>
        <v>0</v>
      </c>
      <c r="AH62" s="44">
        <f t="shared" si="14"/>
        <v>0</v>
      </c>
      <c r="AI62" s="44">
        <f t="shared" si="15"/>
        <v>0</v>
      </c>
      <c r="AJ62" s="44">
        <f t="shared" si="16"/>
        <v>0</v>
      </c>
      <c r="AK62" s="44">
        <f t="shared" si="17"/>
        <v>0</v>
      </c>
      <c r="AL62" s="43" t="s">
        <v>40</v>
      </c>
      <c r="AM62" s="47">
        <f t="shared" si="18"/>
        <v>50000</v>
      </c>
      <c r="AN62" s="43">
        <v>0</v>
      </c>
      <c r="AO62" s="43">
        <v>0</v>
      </c>
      <c r="AP62" s="48">
        <v>0</v>
      </c>
      <c r="AQ62" s="3">
        <f t="shared" si="19"/>
        <v>0</v>
      </c>
      <c r="AR62" s="1">
        <f t="shared" si="24"/>
        <v>50000</v>
      </c>
    </row>
    <row r="63" spans="1:44">
      <c r="A63" s="42" t="e">
        <f t="shared" si="1"/>
        <v>#VALUE!</v>
      </c>
      <c r="B63" s="43" t="s">
        <v>26</v>
      </c>
      <c r="C63" s="43" t="s">
        <v>206</v>
      </c>
      <c r="D63" s="43" t="s">
        <v>207</v>
      </c>
      <c r="E63" s="43" t="s">
        <v>4</v>
      </c>
      <c r="F63" s="44">
        <v>12070</v>
      </c>
      <c r="G63" s="44">
        <v>14721.3333333333</v>
      </c>
      <c r="H63" s="44">
        <v>11453</v>
      </c>
      <c r="I63" s="44">
        <v>14421</v>
      </c>
      <c r="J63" s="44">
        <v>21457</v>
      </c>
      <c r="K63" s="44">
        <v>7600</v>
      </c>
      <c r="L63" s="44">
        <v>300</v>
      </c>
      <c r="M63" s="44">
        <v>2500</v>
      </c>
      <c r="N63" s="44">
        <v>0</v>
      </c>
      <c r="O63" s="44">
        <v>7300</v>
      </c>
      <c r="P63" s="44">
        <v>100</v>
      </c>
      <c r="Q63" s="44">
        <v>40</v>
      </c>
      <c r="R63" s="44">
        <v>31557</v>
      </c>
      <c r="S63" s="44">
        <v>65.6480133139172</v>
      </c>
      <c r="T63" s="44">
        <f t="shared" si="2"/>
        <v>0</v>
      </c>
      <c r="U63" s="44">
        <f t="shared" si="3"/>
        <v>5100</v>
      </c>
      <c r="V63" s="44">
        <f>IFERROR(IF(OR(I63&lt;=0,H63&lt;=0),0,IF(AND((J63+K63+M63+U63+N63-H63)/G63*30&lt;1.5*Q63,U63&gt;T63),U63,T63)),0)</f>
        <v>5100</v>
      </c>
      <c r="W63" s="45">
        <f t="shared" si="4"/>
        <v>5100</v>
      </c>
      <c r="X63" s="44">
        <f t="shared" si="5"/>
        <v>52.4318701893073</v>
      </c>
      <c r="Y63" s="46">
        <f t="shared" si="6"/>
        <v>61557000</v>
      </c>
      <c r="Z63" s="44">
        <f t="shared" si="7"/>
        <v>177686493.333333</v>
      </c>
      <c r="AA63" s="44">
        <f t="shared" si="8"/>
        <v>138237710</v>
      </c>
      <c r="AB63" s="44">
        <f t="shared" si="9"/>
        <v>174061470</v>
      </c>
      <c r="AC63" s="44">
        <f t="shared" si="10"/>
        <v>0</v>
      </c>
      <c r="AD63" s="44">
        <f t="shared" si="11"/>
        <v>380892990</v>
      </c>
      <c r="AE63" s="44">
        <f>IFERROR(VLOOKUP(C63,#REF!,5,0),0)</f>
        <v>0</v>
      </c>
      <c r="AF63" s="44">
        <f t="shared" si="12"/>
        <v>0</v>
      </c>
      <c r="AG63" s="44">
        <f t="shared" si="13"/>
        <v>0</v>
      </c>
      <c r="AH63" s="44">
        <f t="shared" si="14"/>
        <v>0</v>
      </c>
      <c r="AI63" s="44">
        <f t="shared" si="15"/>
        <v>0</v>
      </c>
      <c r="AJ63" s="44">
        <f t="shared" si="16"/>
        <v>0</v>
      </c>
      <c r="AK63" s="44">
        <f t="shared" si="17"/>
        <v>0</v>
      </c>
      <c r="AL63" s="43" t="s">
        <v>40</v>
      </c>
      <c r="AM63" s="47">
        <f t="shared" si="18"/>
        <v>0</v>
      </c>
      <c r="AN63" s="43">
        <v>1500</v>
      </c>
      <c r="AO63" s="43">
        <v>3300</v>
      </c>
      <c r="AP63" s="48">
        <v>4900</v>
      </c>
      <c r="AQ63" s="3">
        <f t="shared" si="19"/>
        <v>1500</v>
      </c>
      <c r="AR63" s="1">
        <f t="shared" si="24"/>
        <v>3600</v>
      </c>
    </row>
    <row r="64" spans="1:44">
      <c r="A64" s="42" t="e">
        <f t="shared" si="1"/>
        <v>#VALUE!</v>
      </c>
      <c r="B64" s="43" t="s">
        <v>26</v>
      </c>
      <c r="C64" s="43" t="s">
        <v>208</v>
      </c>
      <c r="D64" s="43" t="s">
        <v>209</v>
      </c>
      <c r="E64" s="43" t="s">
        <v>3</v>
      </c>
      <c r="F64" s="44">
        <v>12070</v>
      </c>
      <c r="G64" s="44">
        <v>54168.6666666665</v>
      </c>
      <c r="H64" s="44">
        <v>44678</v>
      </c>
      <c r="I64" s="44">
        <v>55269</v>
      </c>
      <c r="J64" s="44">
        <v>66639</v>
      </c>
      <c r="K64" s="44">
        <v>16300</v>
      </c>
      <c r="L64" s="44">
        <v>100</v>
      </c>
      <c r="M64" s="44">
        <v>32300</v>
      </c>
      <c r="N64" s="44">
        <v>0</v>
      </c>
      <c r="O64" s="44">
        <v>20500</v>
      </c>
      <c r="P64" s="44">
        <v>100</v>
      </c>
      <c r="Q64" s="44">
        <v>40</v>
      </c>
      <c r="R64" s="44">
        <v>115239</v>
      </c>
      <c r="S64" s="44">
        <v>62.5517016772513</v>
      </c>
      <c r="T64" s="44">
        <f t="shared" si="2"/>
        <v>3131</v>
      </c>
      <c r="U64" s="44">
        <f t="shared" si="3"/>
        <v>0</v>
      </c>
      <c r="V64" s="44">
        <f>IFERROR(IF(OR(I64&lt;=0,H64&lt;=0),0,IF(AND((J64+K64+M64+U64+N64-H64)/G64*30&lt;1.5*Q64,U64&gt;T64),U64,T64)),0)</f>
        <v>3131</v>
      </c>
      <c r="W64" s="45">
        <f t="shared" si="4"/>
        <v>3100</v>
      </c>
      <c r="X64" s="44">
        <f t="shared" si="5"/>
        <v>39.9831732074038</v>
      </c>
      <c r="Y64" s="46">
        <f t="shared" si="6"/>
        <v>37417000</v>
      </c>
      <c r="Z64" s="44">
        <f t="shared" si="7"/>
        <v>653815806.666665</v>
      </c>
      <c r="AA64" s="44">
        <f t="shared" si="8"/>
        <v>539263460</v>
      </c>
      <c r="AB64" s="44">
        <f t="shared" si="9"/>
        <v>667096830</v>
      </c>
      <c r="AC64" s="44">
        <f t="shared" si="10"/>
        <v>0</v>
      </c>
      <c r="AD64" s="44">
        <f t="shared" si="11"/>
        <v>1390934730</v>
      </c>
      <c r="AE64" s="44">
        <f>IFERROR(VLOOKUP(C64,#REF!,5,0),0)</f>
        <v>0</v>
      </c>
      <c r="AF64" s="44">
        <f t="shared" si="12"/>
        <v>0</v>
      </c>
      <c r="AG64" s="44">
        <f t="shared" si="13"/>
        <v>0</v>
      </c>
      <c r="AH64" s="44">
        <f t="shared" si="14"/>
        <v>0</v>
      </c>
      <c r="AI64" s="44">
        <f t="shared" si="15"/>
        <v>0</v>
      </c>
      <c r="AJ64" s="44">
        <f t="shared" si="16"/>
        <v>0</v>
      </c>
      <c r="AK64" s="44">
        <f t="shared" si="17"/>
        <v>0</v>
      </c>
      <c r="AL64" s="43" t="s">
        <v>40</v>
      </c>
      <c r="AM64" s="47">
        <f t="shared" si="18"/>
        <v>3100</v>
      </c>
      <c r="AN64" s="43">
        <v>0</v>
      </c>
      <c r="AO64" s="43">
        <v>0</v>
      </c>
      <c r="AP64" s="48">
        <v>0</v>
      </c>
      <c r="AQ64" s="3">
        <f t="shared" si="19"/>
        <v>0</v>
      </c>
      <c r="AR64" s="1">
        <f t="shared" si="24"/>
        <v>3100</v>
      </c>
    </row>
    <row r="65" spans="1:44">
      <c r="A65" s="42" t="e">
        <f t="shared" si="1"/>
        <v>#VALUE!</v>
      </c>
      <c r="B65" s="43" t="s">
        <v>26</v>
      </c>
      <c r="C65" s="43" t="s">
        <v>210</v>
      </c>
      <c r="D65" s="43" t="s">
        <v>211</v>
      </c>
      <c r="E65" s="43" t="s">
        <v>3</v>
      </c>
      <c r="F65" s="44">
        <v>22865</v>
      </c>
      <c r="G65" s="44">
        <v>85458.666666667</v>
      </c>
      <c r="H65" s="44">
        <v>69844</v>
      </c>
      <c r="I65" s="44">
        <v>81170.6666666667</v>
      </c>
      <c r="J65" s="44">
        <v>119106</v>
      </c>
      <c r="K65" s="44">
        <v>25200</v>
      </c>
      <c r="L65" s="44">
        <v>100</v>
      </c>
      <c r="M65" s="44">
        <v>51400</v>
      </c>
      <c r="N65" s="44">
        <v>0</v>
      </c>
      <c r="O65" s="44">
        <v>16000</v>
      </c>
      <c r="P65" s="44">
        <v>100</v>
      </c>
      <c r="Q65" s="44">
        <v>40</v>
      </c>
      <c r="R65" s="44">
        <v>195706</v>
      </c>
      <c r="S65" s="44">
        <v>72.3313019481586</v>
      </c>
      <c r="T65" s="44">
        <f t="shared" si="2"/>
        <v>0</v>
      </c>
      <c r="U65" s="44">
        <f t="shared" si="3"/>
        <v>0</v>
      </c>
      <c r="V65" s="44">
        <f>IFERROR(IF(OR(I65&lt;=0,H65&lt;=0),0,IF(AND((J65+K65+M65+U65+N65-H65)/G65*30&lt;1.5*Q65,U65&gt;T65),U65,T65)),0)</f>
        <v>0</v>
      </c>
      <c r="W65" s="45">
        <f t="shared" si="4"/>
        <v>0</v>
      </c>
      <c r="X65" s="44">
        <f t="shared" si="5"/>
        <v>46.5175432832879</v>
      </c>
      <c r="Y65" s="46">
        <f t="shared" si="6"/>
        <v>0</v>
      </c>
      <c r="Z65" s="44">
        <f t="shared" si="7"/>
        <v>1954012413.33334</v>
      </c>
      <c r="AA65" s="44">
        <f t="shared" si="8"/>
        <v>1596983060</v>
      </c>
      <c r="AB65" s="44">
        <f t="shared" si="9"/>
        <v>1855967293.33333</v>
      </c>
      <c r="AC65" s="44">
        <f t="shared" si="10"/>
        <v>0</v>
      </c>
      <c r="AD65" s="44">
        <f t="shared" si="11"/>
        <v>4474817690</v>
      </c>
      <c r="AE65" s="44">
        <f>IFERROR(VLOOKUP(C65,#REF!,5,0),0)</f>
        <v>0</v>
      </c>
      <c r="AF65" s="44">
        <f t="shared" si="12"/>
        <v>0</v>
      </c>
      <c r="AG65" s="44">
        <f t="shared" si="13"/>
        <v>0</v>
      </c>
      <c r="AH65" s="44">
        <f t="shared" si="14"/>
        <v>0</v>
      </c>
      <c r="AI65" s="44">
        <f t="shared" si="15"/>
        <v>0</v>
      </c>
      <c r="AJ65" s="44">
        <f t="shared" si="16"/>
        <v>0</v>
      </c>
      <c r="AK65" s="44">
        <f t="shared" si="17"/>
        <v>0</v>
      </c>
      <c r="AL65" s="43" t="s">
        <v>40</v>
      </c>
      <c r="AM65" s="47">
        <f t="shared" si="18"/>
        <v>0</v>
      </c>
      <c r="AN65" s="43">
        <v>0</v>
      </c>
      <c r="AO65" s="43">
        <v>0</v>
      </c>
      <c r="AP65" s="48">
        <v>0</v>
      </c>
      <c r="AQ65" s="3">
        <f t="shared" si="19"/>
        <v>0</v>
      </c>
      <c r="AR65" s="1">
        <f t="shared" si="24"/>
        <v>0</v>
      </c>
    </row>
    <row r="66" spans="1:44">
      <c r="A66" s="42" t="e">
        <f t="shared" si="1"/>
        <v>#VALUE!</v>
      </c>
      <c r="B66" s="43" t="s">
        <v>26</v>
      </c>
      <c r="C66" s="43" t="s">
        <v>212</v>
      </c>
      <c r="D66" s="43" t="s">
        <v>213</v>
      </c>
      <c r="E66" s="43" t="s">
        <v>3</v>
      </c>
      <c r="F66" s="44">
        <v>22865</v>
      </c>
      <c r="G66" s="44">
        <v>11938.0000000001</v>
      </c>
      <c r="H66" s="44">
        <v>10571</v>
      </c>
      <c r="I66" s="44">
        <v>12229</v>
      </c>
      <c r="J66" s="44">
        <v>19310</v>
      </c>
      <c r="K66" s="44">
        <v>4900</v>
      </c>
      <c r="L66" s="44">
        <v>200</v>
      </c>
      <c r="M66" s="44">
        <v>2300</v>
      </c>
      <c r="N66" s="44">
        <v>0</v>
      </c>
      <c r="O66" s="44">
        <v>6100</v>
      </c>
      <c r="P66" s="44">
        <v>100</v>
      </c>
      <c r="Q66" s="44">
        <v>40</v>
      </c>
      <c r="R66" s="44">
        <v>26510</v>
      </c>
      <c r="S66" s="44">
        <v>65.0339357265516</v>
      </c>
      <c r="T66" s="44">
        <f t="shared" si="2"/>
        <v>366.333333333332</v>
      </c>
      <c r="U66" s="44">
        <f t="shared" si="3"/>
        <v>4000</v>
      </c>
      <c r="V66" s="44">
        <f>IFERROR(IF(OR(I66&lt;=0,H66&lt;=0),0,IF(AND((J66+K66+M66+U66+N66-H66)/G66*30&lt;1.5*Q66,U66&gt;T66),U66,T66)),0)</f>
        <v>4000</v>
      </c>
      <c r="W66" s="45">
        <f t="shared" si="4"/>
        <v>4000</v>
      </c>
      <c r="X66" s="44">
        <f t="shared" si="5"/>
        <v>48.9140567503475</v>
      </c>
      <c r="Y66" s="46">
        <f t="shared" si="6"/>
        <v>91460000</v>
      </c>
      <c r="Z66" s="44">
        <f t="shared" si="7"/>
        <v>272962370.000002</v>
      </c>
      <c r="AA66" s="44">
        <f t="shared" si="8"/>
        <v>241705915</v>
      </c>
      <c r="AB66" s="44">
        <f t="shared" si="9"/>
        <v>279616085</v>
      </c>
      <c r="AC66" s="44">
        <f t="shared" si="10"/>
        <v>0</v>
      </c>
      <c r="AD66" s="44">
        <f t="shared" si="11"/>
        <v>606151150</v>
      </c>
      <c r="AE66" s="44">
        <f>IFERROR(VLOOKUP(C66,#REF!,5,0),0)</f>
        <v>0</v>
      </c>
      <c r="AF66" s="44">
        <f t="shared" si="12"/>
        <v>0</v>
      </c>
      <c r="AG66" s="44">
        <f t="shared" si="13"/>
        <v>0</v>
      </c>
      <c r="AH66" s="44">
        <f t="shared" si="14"/>
        <v>0</v>
      </c>
      <c r="AI66" s="44">
        <f t="shared" si="15"/>
        <v>0</v>
      </c>
      <c r="AJ66" s="44">
        <f t="shared" si="16"/>
        <v>0</v>
      </c>
      <c r="AK66" s="44">
        <f t="shared" si="17"/>
        <v>0</v>
      </c>
      <c r="AL66" s="43" t="s">
        <v>40</v>
      </c>
      <c r="AM66" s="47">
        <f t="shared" si="18"/>
        <v>0</v>
      </c>
      <c r="AN66" s="43">
        <v>1200</v>
      </c>
      <c r="AO66" s="43">
        <v>2500</v>
      </c>
      <c r="AP66" s="48">
        <v>4000</v>
      </c>
      <c r="AQ66" s="3">
        <f t="shared" si="19"/>
        <v>1200</v>
      </c>
      <c r="AR66" s="1">
        <f t="shared" si="24"/>
        <v>2800</v>
      </c>
    </row>
    <row r="67" spans="1:44">
      <c r="A67" s="42" t="e">
        <f>#REF!+1</f>
        <v>#REF!</v>
      </c>
      <c r="B67" s="43" t="s">
        <v>26</v>
      </c>
      <c r="C67" s="43" t="s">
        <v>214</v>
      </c>
      <c r="D67" s="43" t="s">
        <v>215</v>
      </c>
      <c r="E67" s="43" t="s">
        <v>3</v>
      </c>
      <c r="F67" s="44">
        <v>16500</v>
      </c>
      <c r="G67" s="44">
        <v>29530.6666666668</v>
      </c>
      <c r="H67" s="44">
        <v>34885</v>
      </c>
      <c r="I67" s="44">
        <v>32982.3333333333</v>
      </c>
      <c r="J67" s="44">
        <v>41315</v>
      </c>
      <c r="K67" s="44">
        <v>7320</v>
      </c>
      <c r="L67" s="44">
        <v>0</v>
      </c>
      <c r="M67" s="44">
        <v>5640</v>
      </c>
      <c r="N67" s="44">
        <v>0</v>
      </c>
      <c r="O67" s="44">
        <v>11880</v>
      </c>
      <c r="P67" s="44">
        <v>120</v>
      </c>
      <c r="Q67" s="44">
        <v>55</v>
      </c>
      <c r="R67" s="44">
        <v>54275</v>
      </c>
      <c r="S67" s="44">
        <v>49.3673380698758</v>
      </c>
      <c r="T67" s="44">
        <f t="shared" si="2"/>
        <v>41077.6111111111</v>
      </c>
      <c r="U67" s="44">
        <f t="shared" si="3"/>
        <v>6240</v>
      </c>
      <c r="V67" s="44">
        <v>30000</v>
      </c>
      <c r="W67" s="45">
        <f t="shared" si="4"/>
        <v>30000</v>
      </c>
      <c r="X67" s="44">
        <f t="shared" si="5"/>
        <v>44.9240502491233</v>
      </c>
      <c r="Y67" s="46">
        <f t="shared" si="6"/>
        <v>495000000</v>
      </c>
      <c r="Z67" s="44">
        <f t="shared" si="7"/>
        <v>487256000.000002</v>
      </c>
      <c r="AA67" s="44">
        <f t="shared" si="8"/>
        <v>575602500</v>
      </c>
      <c r="AB67" s="44">
        <f t="shared" si="9"/>
        <v>544208500</v>
      </c>
      <c r="AC67" s="44">
        <f t="shared" si="10"/>
        <v>0</v>
      </c>
      <c r="AD67" s="44">
        <f t="shared" si="11"/>
        <v>895537500</v>
      </c>
      <c r="AE67" s="44">
        <f>IFERROR(VLOOKUP(C67,#REF!,5,0),0)</f>
        <v>0</v>
      </c>
      <c r="AF67" s="44">
        <f t="shared" si="12"/>
        <v>0</v>
      </c>
      <c r="AG67" s="44">
        <f t="shared" si="13"/>
        <v>0</v>
      </c>
      <c r="AH67" s="44">
        <f t="shared" si="14"/>
        <v>0</v>
      </c>
      <c r="AI67" s="44">
        <f t="shared" si="15"/>
        <v>0</v>
      </c>
      <c r="AJ67" s="44">
        <f t="shared" si="16"/>
        <v>0</v>
      </c>
      <c r="AK67" s="44">
        <f t="shared" si="17"/>
        <v>0</v>
      </c>
      <c r="AL67" s="43" t="s">
        <v>37</v>
      </c>
      <c r="AM67" s="47">
        <f t="shared" si="18"/>
        <v>23760</v>
      </c>
      <c r="AN67" s="43">
        <v>1680</v>
      </c>
      <c r="AO67" s="43">
        <v>4200</v>
      </c>
      <c r="AP67" s="48">
        <v>7440</v>
      </c>
      <c r="AQ67" s="3">
        <f t="shared" si="19"/>
        <v>1680</v>
      </c>
      <c r="AR67" s="1">
        <f t="shared" si="24"/>
        <v>28320</v>
      </c>
    </row>
    <row r="68" spans="1:44">
      <c r="A68" s="42" t="e">
        <f t="shared" ref="A68:A116" si="26">A67+1</f>
        <v>#REF!</v>
      </c>
      <c r="B68" s="43" t="s">
        <v>26</v>
      </c>
      <c r="C68" s="43" t="s">
        <v>216</v>
      </c>
      <c r="D68" s="43" t="s">
        <v>217</v>
      </c>
      <c r="E68" s="43" t="s">
        <v>3</v>
      </c>
      <c r="F68" s="44">
        <v>10000</v>
      </c>
      <c r="G68" s="44">
        <v>14608</v>
      </c>
      <c r="H68" s="44">
        <v>13698</v>
      </c>
      <c r="I68" s="44">
        <v>12161</v>
      </c>
      <c r="J68" s="44">
        <v>31231</v>
      </c>
      <c r="K68" s="44">
        <v>1800</v>
      </c>
      <c r="L68" s="44">
        <v>0</v>
      </c>
      <c r="M68" s="44">
        <v>720</v>
      </c>
      <c r="N68" s="44">
        <v>0</v>
      </c>
      <c r="O68" s="44">
        <v>3120</v>
      </c>
      <c r="P68" s="44">
        <v>120</v>
      </c>
      <c r="Q68" s="44">
        <v>55</v>
      </c>
      <c r="R68" s="44">
        <v>33751</v>
      </c>
      <c r="S68" s="44">
        <v>83.26042266261</v>
      </c>
      <c r="T68" s="44">
        <f t="shared" si="2"/>
        <v>2242.16666666666</v>
      </c>
      <c r="U68" s="44">
        <f t="shared" si="3"/>
        <v>2400</v>
      </c>
      <c r="V68" s="44">
        <f t="shared" ref="V68:V76" si="27">IFERROR(IF(OR(I68&lt;=0,H68&lt;=0),0,IF(AND((J68+K68+M68+U68+N68-H68)/G68*30&lt;1.5*Q68,U68&gt;T68),U68,T68)),0)</f>
        <v>2400</v>
      </c>
      <c r="W68" s="45">
        <f t="shared" si="4"/>
        <v>2400</v>
      </c>
      <c r="X68" s="44">
        <f t="shared" si="5"/>
        <v>55.3893594276786</v>
      </c>
      <c r="Y68" s="46">
        <f t="shared" si="6"/>
        <v>24000000</v>
      </c>
      <c r="Z68" s="44">
        <f t="shared" si="7"/>
        <v>146080000</v>
      </c>
      <c r="AA68" s="44">
        <f t="shared" si="8"/>
        <v>136980000</v>
      </c>
      <c r="AB68" s="44">
        <f t="shared" si="9"/>
        <v>121610000</v>
      </c>
      <c r="AC68" s="44">
        <f t="shared" si="10"/>
        <v>0</v>
      </c>
      <c r="AD68" s="44">
        <f t="shared" si="11"/>
        <v>337510000</v>
      </c>
      <c r="AE68" s="44">
        <f>IFERROR(VLOOKUP(C68,#REF!,5,0),0)</f>
        <v>0</v>
      </c>
      <c r="AF68" s="44">
        <f t="shared" si="12"/>
        <v>0</v>
      </c>
      <c r="AG68" s="44">
        <f t="shared" si="13"/>
        <v>0</v>
      </c>
      <c r="AH68" s="44">
        <f t="shared" si="14"/>
        <v>0</v>
      </c>
      <c r="AI68" s="44">
        <f t="shared" si="15"/>
        <v>0</v>
      </c>
      <c r="AJ68" s="44">
        <f t="shared" si="16"/>
        <v>0</v>
      </c>
      <c r="AK68" s="44">
        <f t="shared" si="17"/>
        <v>0</v>
      </c>
      <c r="AL68" s="43" t="s">
        <v>37</v>
      </c>
      <c r="AM68" s="47">
        <f t="shared" si="18"/>
        <v>0</v>
      </c>
      <c r="AN68" s="43">
        <v>1320</v>
      </c>
      <c r="AO68" s="43">
        <v>2280</v>
      </c>
      <c r="AP68" s="48">
        <v>2880</v>
      </c>
      <c r="AQ68" s="3">
        <f t="shared" si="19"/>
        <v>1320</v>
      </c>
      <c r="AR68" s="1">
        <f t="shared" si="24"/>
        <v>1080</v>
      </c>
    </row>
    <row r="69" spans="1:44">
      <c r="A69" s="42" t="e">
        <f t="shared" si="26"/>
        <v>#REF!</v>
      </c>
      <c r="B69" s="43" t="s">
        <v>26</v>
      </c>
      <c r="C69" s="43" t="s">
        <v>218</v>
      </c>
      <c r="D69" s="43" t="s">
        <v>219</v>
      </c>
      <c r="E69" s="43" t="s">
        <v>4</v>
      </c>
      <c r="F69" s="44">
        <v>21250</v>
      </c>
      <c r="G69" s="44">
        <v>14201</v>
      </c>
      <c r="H69" s="44">
        <v>13097.4847660347</v>
      </c>
      <c r="I69" s="44">
        <v>15083.4949220116</v>
      </c>
      <c r="J69" s="44">
        <v>14090</v>
      </c>
      <c r="K69" s="44">
        <v>2304</v>
      </c>
      <c r="L69" s="44">
        <v>144</v>
      </c>
      <c r="M69" s="44">
        <v>576</v>
      </c>
      <c r="N69" s="44">
        <v>0</v>
      </c>
      <c r="O69" s="44">
        <v>6912</v>
      </c>
      <c r="P69" s="44">
        <v>72</v>
      </c>
      <c r="Q69" s="44">
        <v>50</v>
      </c>
      <c r="R69" s="44">
        <v>16970</v>
      </c>
      <c r="S69" s="44">
        <v>33.7521245992574</v>
      </c>
      <c r="T69" s="44">
        <f t="shared" si="2"/>
        <v>21266.6429693873</v>
      </c>
      <c r="U69" s="44">
        <f t="shared" si="3"/>
        <v>6480</v>
      </c>
      <c r="V69" s="44">
        <f t="shared" si="27"/>
        <v>21266.6429693873</v>
      </c>
      <c r="W69" s="45">
        <f t="shared" si="4"/>
        <v>21240</v>
      </c>
      <c r="X69" s="44">
        <f t="shared" si="5"/>
        <v>49.9470090263728</v>
      </c>
      <c r="Y69" s="46">
        <f t="shared" si="6"/>
        <v>451350000</v>
      </c>
      <c r="Z69" s="44">
        <f t="shared" si="7"/>
        <v>301771250</v>
      </c>
      <c r="AA69" s="44">
        <f t="shared" si="8"/>
        <v>278321551.278237</v>
      </c>
      <c r="AB69" s="44">
        <f t="shared" si="9"/>
        <v>320524267.092746</v>
      </c>
      <c r="AC69" s="44">
        <f t="shared" si="10"/>
        <v>0</v>
      </c>
      <c r="AD69" s="44">
        <f t="shared" si="11"/>
        <v>360612500</v>
      </c>
      <c r="AE69" s="44">
        <f>IFERROR(VLOOKUP(C69,#REF!,5,0),0)</f>
        <v>0</v>
      </c>
      <c r="AF69" s="44">
        <f t="shared" si="12"/>
        <v>0</v>
      </c>
      <c r="AG69" s="44">
        <f t="shared" si="13"/>
        <v>0</v>
      </c>
      <c r="AH69" s="44">
        <f t="shared" si="14"/>
        <v>0</v>
      </c>
      <c r="AI69" s="44">
        <f t="shared" si="15"/>
        <v>0</v>
      </c>
      <c r="AJ69" s="44">
        <f t="shared" si="16"/>
        <v>0</v>
      </c>
      <c r="AK69" s="44">
        <f t="shared" si="17"/>
        <v>0</v>
      </c>
      <c r="AL69" s="43" t="s">
        <v>43</v>
      </c>
      <c r="AM69" s="47">
        <f t="shared" si="18"/>
        <v>14760</v>
      </c>
      <c r="AN69" s="43">
        <v>3600</v>
      </c>
      <c r="AO69" s="43">
        <v>5256</v>
      </c>
      <c r="AP69" s="48">
        <v>6984</v>
      </c>
      <c r="AQ69" s="3">
        <f t="shared" si="19"/>
        <v>3600</v>
      </c>
      <c r="AR69" s="1">
        <f t="shared" si="24"/>
        <v>17640</v>
      </c>
    </row>
    <row r="70" spans="1:44">
      <c r="A70" s="42" t="e">
        <f t="shared" si="26"/>
        <v>#REF!</v>
      </c>
      <c r="B70" s="43" t="s">
        <v>26</v>
      </c>
      <c r="C70" s="43" t="s">
        <v>220</v>
      </c>
      <c r="D70" s="43" t="s">
        <v>221</v>
      </c>
      <c r="E70" s="43" t="s">
        <v>4</v>
      </c>
      <c r="F70" s="44">
        <v>7000</v>
      </c>
      <c r="G70" s="44">
        <v>22942.3333333333</v>
      </c>
      <c r="H70" s="44">
        <v>17915.3823743141</v>
      </c>
      <c r="I70" s="44">
        <v>20570.7941247714</v>
      </c>
      <c r="J70" s="44">
        <v>26982</v>
      </c>
      <c r="K70" s="44">
        <v>2736</v>
      </c>
      <c r="L70" s="44">
        <v>0</v>
      </c>
      <c r="M70" s="44">
        <v>864</v>
      </c>
      <c r="N70" s="44">
        <v>0</v>
      </c>
      <c r="O70" s="44">
        <v>6192</v>
      </c>
      <c r="P70" s="44">
        <v>144</v>
      </c>
      <c r="Q70" s="44">
        <v>50</v>
      </c>
      <c r="R70" s="44">
        <v>30582</v>
      </c>
      <c r="S70" s="44">
        <v>44.600125519471</v>
      </c>
      <c r="T70" s="44">
        <f t="shared" si="2"/>
        <v>21618.039248933</v>
      </c>
      <c r="U70" s="44">
        <f t="shared" si="3"/>
        <v>5328</v>
      </c>
      <c r="V70" s="44">
        <f t="shared" si="27"/>
        <v>21618.039248933</v>
      </c>
      <c r="W70" s="45">
        <f t="shared" si="4"/>
        <v>21600</v>
      </c>
      <c r="X70" s="44">
        <f t="shared" si="5"/>
        <v>49.973691950602</v>
      </c>
      <c r="Y70" s="46">
        <f t="shared" si="6"/>
        <v>151200000</v>
      </c>
      <c r="Z70" s="44">
        <f t="shared" si="7"/>
        <v>160596333.333333</v>
      </c>
      <c r="AA70" s="44">
        <f t="shared" si="8"/>
        <v>125407676.620198</v>
      </c>
      <c r="AB70" s="44">
        <f t="shared" si="9"/>
        <v>143995558.873399</v>
      </c>
      <c r="AC70" s="44">
        <f t="shared" si="10"/>
        <v>0</v>
      </c>
      <c r="AD70" s="44">
        <f t="shared" si="11"/>
        <v>214074000</v>
      </c>
      <c r="AE70" s="44">
        <f>IFERROR(VLOOKUP(C70,#REF!,5,0),0)</f>
        <v>0</v>
      </c>
      <c r="AF70" s="44">
        <f t="shared" si="12"/>
        <v>0</v>
      </c>
      <c r="AG70" s="44">
        <f t="shared" si="13"/>
        <v>0</v>
      </c>
      <c r="AH70" s="44">
        <f t="shared" si="14"/>
        <v>0</v>
      </c>
      <c r="AI70" s="44">
        <f t="shared" si="15"/>
        <v>0</v>
      </c>
      <c r="AJ70" s="44">
        <f t="shared" si="16"/>
        <v>0</v>
      </c>
      <c r="AK70" s="44">
        <f t="shared" si="17"/>
        <v>0</v>
      </c>
      <c r="AL70" s="43" t="s">
        <v>43</v>
      </c>
      <c r="AM70" s="47">
        <f t="shared" si="18"/>
        <v>16272</v>
      </c>
      <c r="AN70" s="43">
        <v>3600</v>
      </c>
      <c r="AO70" s="43">
        <v>4896</v>
      </c>
      <c r="AP70" s="48">
        <v>6480</v>
      </c>
      <c r="AQ70" s="3">
        <f t="shared" si="19"/>
        <v>3600</v>
      </c>
      <c r="AR70" s="1">
        <f t="shared" si="24"/>
        <v>18000</v>
      </c>
    </row>
    <row r="71" spans="1:44">
      <c r="A71" s="42" t="e">
        <f t="shared" si="26"/>
        <v>#REF!</v>
      </c>
      <c r="B71" s="43" t="s">
        <v>26</v>
      </c>
      <c r="C71" s="43" t="s">
        <v>222</v>
      </c>
      <c r="D71" s="43" t="s">
        <v>223</v>
      </c>
      <c r="E71" s="43" t="s">
        <v>4</v>
      </c>
      <c r="F71" s="44">
        <v>12750</v>
      </c>
      <c r="G71" s="44">
        <v>49458.3333333332</v>
      </c>
      <c r="H71" s="44">
        <v>48083.4648673151</v>
      </c>
      <c r="I71" s="44">
        <v>51963.8216224384</v>
      </c>
      <c r="J71" s="44">
        <v>47062</v>
      </c>
      <c r="K71" s="44">
        <v>10728</v>
      </c>
      <c r="L71" s="44">
        <v>3240</v>
      </c>
      <c r="M71" s="44">
        <v>1296</v>
      </c>
      <c r="N71" s="44">
        <v>0</v>
      </c>
      <c r="O71" s="44">
        <v>22608</v>
      </c>
      <c r="P71" s="44">
        <v>72</v>
      </c>
      <c r="Q71" s="44">
        <v>50</v>
      </c>
      <c r="R71" s="44">
        <v>59086</v>
      </c>
      <c r="S71" s="44">
        <v>34.1118098064325</v>
      </c>
      <c r="T71" s="44">
        <f t="shared" ref="T71:T116" si="28">IF($C71="","",IF(ISERROR(Q71/30*I71+H71-R71-N71),0,IF(Q71/30*I71+H71-R71-N71&lt;=0,0,Q71/30*I71+H71-R71-N71)))</f>
        <v>75603.8342380457</v>
      </c>
      <c r="U71" s="44">
        <f t="shared" ref="U71:U116" si="29">IF($C71="","",IF(ISERROR(L71-M71-N71+O71&lt;0),0,IF(L71-M71-N71+O71&lt;0,0,L71-M71-N71+O71)))</f>
        <v>24552</v>
      </c>
      <c r="V71" s="44">
        <f t="shared" si="27"/>
        <v>75603.8342380457</v>
      </c>
      <c r="W71" s="45">
        <f t="shared" ref="W71:W116" si="30">IFERROR(ROUND(V71/P71,0)*P71,0)</f>
        <v>75600</v>
      </c>
      <c r="X71" s="44">
        <f t="shared" ref="X71:X116" si="31">IF($C71="","",IF(AND(R71+W71+N71-H71&gt;0,I71&lt;=0),9999,IF(R71+W71+N71-H71&lt;=0,0,(R71+W71+N71-H71)/I71*30)))</f>
        <v>49.9977863995029</v>
      </c>
      <c r="Y71" s="46">
        <f t="shared" ref="Y71:Y116" si="32">IFERROR(W71*F71,0)</f>
        <v>963900000</v>
      </c>
      <c r="Z71" s="44">
        <f t="shared" ref="Z71:Z116" si="33">IFERROR($F71*G71,0)</f>
        <v>630593749.999998</v>
      </c>
      <c r="AA71" s="44">
        <f t="shared" ref="AA71:AA116" si="34">IFERROR($F71*H71,0)</f>
        <v>613064177.058268</v>
      </c>
      <c r="AB71" s="44">
        <f t="shared" ref="AB71:AB116" si="35">IFERROR($F71*I71,0)</f>
        <v>662538725.686089</v>
      </c>
      <c r="AC71" s="44">
        <f t="shared" ref="AC71:AC116" si="36">IFERROR($F71*N71,0)</f>
        <v>0</v>
      </c>
      <c r="AD71" s="44">
        <f t="shared" ref="AD71:AD116" si="37">IFERROR($F71*R71,0)</f>
        <v>753346500</v>
      </c>
      <c r="AE71" s="44">
        <f>IFERROR(VLOOKUP(C71,#REF!,5,0),0)</f>
        <v>0</v>
      </c>
      <c r="AF71" s="44">
        <f t="shared" ref="AF71:AF116" si="38">IFERROR(W71*$AE71,0)</f>
        <v>0</v>
      </c>
      <c r="AG71" s="44">
        <f t="shared" ref="AG71:AG116" si="39">IFERROR(G71*$AE71,0)</f>
        <v>0</v>
      </c>
      <c r="AH71" s="44">
        <f t="shared" ref="AH71:AH116" si="40">IFERROR(H71*$AE71,0)</f>
        <v>0</v>
      </c>
      <c r="AI71" s="44">
        <f t="shared" ref="AI71:AI116" si="41">IFERROR(I71*$AE71,0)</f>
        <v>0</v>
      </c>
      <c r="AJ71" s="44">
        <f t="shared" ref="AJ71:AJ116" si="42">IFERROR(N71*$AE71,0)</f>
        <v>0</v>
      </c>
      <c r="AK71" s="44">
        <f t="shared" ref="AK71:AK116" si="43">IFERROR(R71*$AE71,0)</f>
        <v>0</v>
      </c>
      <c r="AL71" s="43" t="s">
        <v>43</v>
      </c>
      <c r="AM71" s="47">
        <f t="shared" ref="AM71:AM116" si="44">W71-U71</f>
        <v>51048</v>
      </c>
      <c r="AN71" s="43">
        <v>10584</v>
      </c>
      <c r="AO71" s="43">
        <v>16200</v>
      </c>
      <c r="AP71" s="48">
        <v>21744</v>
      </c>
      <c r="AQ71" s="3">
        <f>ROUNDUP(AN71/P71,0)*P71</f>
        <v>10584</v>
      </c>
      <c r="AR71" s="1">
        <f t="shared" si="24"/>
        <v>65016</v>
      </c>
    </row>
    <row r="72" spans="1:44">
      <c r="A72" s="42" t="e">
        <f t="shared" si="26"/>
        <v>#REF!</v>
      </c>
      <c r="B72" s="43" t="s">
        <v>26</v>
      </c>
      <c r="C72" s="43" t="s">
        <v>224</v>
      </c>
      <c r="D72" s="43" t="s">
        <v>225</v>
      </c>
      <c r="E72" s="43" t="s">
        <v>3</v>
      </c>
      <c r="F72" s="44">
        <v>47940</v>
      </c>
      <c r="G72" s="44">
        <v>8935.66666666664</v>
      </c>
      <c r="H72" s="44">
        <v>13255.0025367504</v>
      </c>
      <c r="I72" s="44">
        <v>9350.33417891681</v>
      </c>
      <c r="J72" s="44">
        <v>1950</v>
      </c>
      <c r="K72" s="44">
        <v>0</v>
      </c>
      <c r="L72" s="44">
        <v>15</v>
      </c>
      <c r="M72" s="44">
        <v>0</v>
      </c>
      <c r="N72" s="44">
        <v>0</v>
      </c>
      <c r="O72" s="44">
        <v>18000</v>
      </c>
      <c r="P72" s="44">
        <v>48</v>
      </c>
      <c r="Q72" s="44">
        <v>50</v>
      </c>
      <c r="R72" s="44">
        <v>1950</v>
      </c>
      <c r="S72" s="44">
        <v>6.25646087943104</v>
      </c>
      <c r="T72" s="44">
        <f t="shared" si="28"/>
        <v>26888.8928349451</v>
      </c>
      <c r="U72" s="44">
        <f t="shared" si="29"/>
        <v>18015</v>
      </c>
      <c r="V72" s="44">
        <f t="shared" si="27"/>
        <v>26888.8928349451</v>
      </c>
      <c r="W72" s="45">
        <f t="shared" si="30"/>
        <v>26880</v>
      </c>
      <c r="X72" s="44">
        <f t="shared" si="31"/>
        <v>49.9714678595172</v>
      </c>
      <c r="Y72" s="46">
        <f t="shared" si="32"/>
        <v>1288627200</v>
      </c>
      <c r="Z72" s="44">
        <f t="shared" si="33"/>
        <v>428375859.999999</v>
      </c>
      <c r="AA72" s="44">
        <f t="shared" si="34"/>
        <v>635444821.611816</v>
      </c>
      <c r="AB72" s="44">
        <f t="shared" si="35"/>
        <v>448255020.537272</v>
      </c>
      <c r="AC72" s="44">
        <f t="shared" si="36"/>
        <v>0</v>
      </c>
      <c r="AD72" s="44">
        <f t="shared" si="37"/>
        <v>93483000</v>
      </c>
      <c r="AE72" s="44">
        <f>IFERROR(VLOOKUP(C72,#REF!,5,0),0)</f>
        <v>0</v>
      </c>
      <c r="AF72" s="44">
        <f t="shared" si="38"/>
        <v>0</v>
      </c>
      <c r="AG72" s="44">
        <f t="shared" si="39"/>
        <v>0</v>
      </c>
      <c r="AH72" s="44">
        <f t="shared" si="40"/>
        <v>0</v>
      </c>
      <c r="AI72" s="44">
        <f t="shared" si="41"/>
        <v>0</v>
      </c>
      <c r="AJ72" s="44">
        <f t="shared" si="42"/>
        <v>0</v>
      </c>
      <c r="AK72" s="44">
        <f t="shared" si="43"/>
        <v>0</v>
      </c>
      <c r="AL72" s="43" t="s">
        <v>43</v>
      </c>
      <c r="AM72" s="47">
        <f t="shared" si="44"/>
        <v>8865</v>
      </c>
      <c r="AN72" s="43">
        <v>0</v>
      </c>
      <c r="AO72" s="43">
        <v>0</v>
      </c>
      <c r="AP72" s="48">
        <v>0</v>
      </c>
      <c r="AQ72" s="3">
        <f>ROUNDUP(AN72/P72,0)*P72</f>
        <v>0</v>
      </c>
      <c r="AR72" s="1">
        <f t="shared" ref="AR72:AR103" si="45">W72-AQ72</f>
        <v>26880</v>
      </c>
    </row>
    <row r="73" spans="1:44">
      <c r="A73" s="42" t="e">
        <f t="shared" si="26"/>
        <v>#REF!</v>
      </c>
      <c r="B73" s="43" t="s">
        <v>26</v>
      </c>
      <c r="C73" s="43" t="s">
        <v>226</v>
      </c>
      <c r="D73" s="43" t="s">
        <v>227</v>
      </c>
      <c r="E73" s="43" t="s">
        <v>3</v>
      </c>
      <c r="F73" s="44">
        <v>84660</v>
      </c>
      <c r="G73" s="44">
        <v>3233.33333333334</v>
      </c>
      <c r="H73" s="44">
        <v>6344.31702127259</v>
      </c>
      <c r="I73" s="44">
        <v>2896.10567375753</v>
      </c>
      <c r="J73" s="44">
        <v>539</v>
      </c>
      <c r="K73" s="44">
        <v>0</v>
      </c>
      <c r="L73" s="44">
        <v>0</v>
      </c>
      <c r="M73" s="44">
        <v>0</v>
      </c>
      <c r="N73" s="44">
        <v>0</v>
      </c>
      <c r="O73" s="44">
        <v>7776</v>
      </c>
      <c r="P73" s="44">
        <v>24</v>
      </c>
      <c r="Q73" s="44">
        <v>50</v>
      </c>
      <c r="R73" s="44">
        <v>539</v>
      </c>
      <c r="S73" s="44">
        <v>5.58335980158499</v>
      </c>
      <c r="T73" s="44">
        <f t="shared" si="28"/>
        <v>10632.1598108685</v>
      </c>
      <c r="U73" s="44">
        <f t="shared" si="29"/>
        <v>7776</v>
      </c>
      <c r="V73" s="44">
        <f t="shared" si="27"/>
        <v>10632.1598108685</v>
      </c>
      <c r="W73" s="45">
        <f t="shared" si="30"/>
        <v>10632</v>
      </c>
      <c r="X73" s="44">
        <f t="shared" si="31"/>
        <v>49.9983445610781</v>
      </c>
      <c r="Y73" s="46">
        <f t="shared" si="32"/>
        <v>900105120</v>
      </c>
      <c r="Z73" s="44">
        <f t="shared" si="33"/>
        <v>273734000</v>
      </c>
      <c r="AA73" s="44">
        <f t="shared" si="34"/>
        <v>537109879.020938</v>
      </c>
      <c r="AB73" s="44">
        <f t="shared" si="35"/>
        <v>245184306.340312</v>
      </c>
      <c r="AC73" s="44">
        <f t="shared" si="36"/>
        <v>0</v>
      </c>
      <c r="AD73" s="44">
        <f t="shared" si="37"/>
        <v>45631740</v>
      </c>
      <c r="AE73" s="44">
        <f>IFERROR(VLOOKUP(C73,#REF!,5,0),0)</f>
        <v>0</v>
      </c>
      <c r="AF73" s="44">
        <f t="shared" si="38"/>
        <v>0</v>
      </c>
      <c r="AG73" s="44">
        <f t="shared" si="39"/>
        <v>0</v>
      </c>
      <c r="AH73" s="44">
        <f t="shared" si="40"/>
        <v>0</v>
      </c>
      <c r="AI73" s="44">
        <f t="shared" si="41"/>
        <v>0</v>
      </c>
      <c r="AJ73" s="44">
        <f t="shared" si="42"/>
        <v>0</v>
      </c>
      <c r="AK73" s="44">
        <f t="shared" si="43"/>
        <v>0</v>
      </c>
      <c r="AL73" s="43" t="s">
        <v>43</v>
      </c>
      <c r="AM73" s="47">
        <f t="shared" si="44"/>
        <v>2856</v>
      </c>
      <c r="AN73" s="43">
        <v>0</v>
      </c>
      <c r="AO73" s="43">
        <v>0</v>
      </c>
      <c r="AP73" s="48">
        <v>0</v>
      </c>
      <c r="AQ73" s="3">
        <f>ROUNDUP(AN73/P73,0)*P73</f>
        <v>0</v>
      </c>
      <c r="AR73" s="1">
        <f t="shared" si="45"/>
        <v>10632</v>
      </c>
    </row>
    <row r="74" spans="1:44">
      <c r="A74" s="42" t="e">
        <f t="shared" si="26"/>
        <v>#REF!</v>
      </c>
      <c r="B74" s="43" t="s">
        <v>26</v>
      </c>
      <c r="C74" s="43" t="s">
        <v>228</v>
      </c>
      <c r="D74" s="43" t="s">
        <v>229</v>
      </c>
      <c r="E74" s="43" t="s">
        <v>3</v>
      </c>
      <c r="F74" s="44">
        <v>14025</v>
      </c>
      <c r="G74" s="44">
        <v>89837.9999999998</v>
      </c>
      <c r="H74" s="44">
        <v>113884.921552494</v>
      </c>
      <c r="I74" s="44">
        <v>89356.3071841645</v>
      </c>
      <c r="J74" s="44">
        <v>213877</v>
      </c>
      <c r="K74" s="44">
        <v>11088</v>
      </c>
      <c r="L74" s="44">
        <v>1440</v>
      </c>
      <c r="M74" s="44">
        <v>8352</v>
      </c>
      <c r="N74" s="44">
        <v>0</v>
      </c>
      <c r="O74" s="44">
        <v>5328</v>
      </c>
      <c r="P74" s="44">
        <v>144</v>
      </c>
      <c r="Q74" s="44">
        <v>50</v>
      </c>
      <c r="R74" s="44">
        <v>233317</v>
      </c>
      <c r="S74" s="44">
        <v>78.3325790934256</v>
      </c>
      <c r="T74" s="44">
        <f t="shared" si="28"/>
        <v>29495.1001927677</v>
      </c>
      <c r="U74" s="44">
        <f t="shared" si="29"/>
        <v>0</v>
      </c>
      <c r="V74" s="44">
        <f t="shared" si="27"/>
        <v>29495.1001927677</v>
      </c>
      <c r="W74" s="45">
        <f t="shared" si="30"/>
        <v>29520</v>
      </c>
      <c r="X74" s="44">
        <f t="shared" si="31"/>
        <v>50.0083597256926</v>
      </c>
      <c r="Y74" s="46">
        <f t="shared" si="32"/>
        <v>414018000</v>
      </c>
      <c r="Z74" s="44">
        <f t="shared" si="33"/>
        <v>1259977950</v>
      </c>
      <c r="AA74" s="44">
        <f t="shared" si="34"/>
        <v>1597236024.77372</v>
      </c>
      <c r="AB74" s="44">
        <f t="shared" si="35"/>
        <v>1253222208.25791</v>
      </c>
      <c r="AC74" s="44">
        <f t="shared" si="36"/>
        <v>0</v>
      </c>
      <c r="AD74" s="44">
        <f t="shared" si="37"/>
        <v>3272270925</v>
      </c>
      <c r="AE74" s="44">
        <f>IFERROR(VLOOKUP(C74,#REF!,5,0),0)</f>
        <v>0</v>
      </c>
      <c r="AF74" s="44">
        <f t="shared" si="38"/>
        <v>0</v>
      </c>
      <c r="AG74" s="44">
        <f t="shared" si="39"/>
        <v>0</v>
      </c>
      <c r="AH74" s="44">
        <f t="shared" si="40"/>
        <v>0</v>
      </c>
      <c r="AI74" s="44">
        <f t="shared" si="41"/>
        <v>0</v>
      </c>
      <c r="AJ74" s="44">
        <f t="shared" si="42"/>
        <v>0</v>
      </c>
      <c r="AK74" s="44">
        <f t="shared" si="43"/>
        <v>0</v>
      </c>
      <c r="AL74" s="43" t="s">
        <v>43</v>
      </c>
      <c r="AM74" s="47">
        <f t="shared" si="44"/>
        <v>29520</v>
      </c>
      <c r="AN74" s="43">
        <v>0</v>
      </c>
      <c r="AO74" s="43">
        <v>0</v>
      </c>
      <c r="AP74" s="48">
        <v>0</v>
      </c>
      <c r="AQ74" s="3">
        <f>ROUNDUP(AN74/P74,0)*P74</f>
        <v>0</v>
      </c>
      <c r="AR74" s="1">
        <f t="shared" si="45"/>
        <v>29520</v>
      </c>
    </row>
    <row r="75" spans="1:44">
      <c r="A75" s="42" t="e">
        <f t="shared" si="26"/>
        <v>#REF!</v>
      </c>
      <c r="B75" s="43" t="s">
        <v>26</v>
      </c>
      <c r="C75" s="43" t="s">
        <v>230</v>
      </c>
      <c r="D75" s="43" t="s">
        <v>231</v>
      </c>
      <c r="E75" s="43" t="s">
        <v>4</v>
      </c>
      <c r="F75" s="44">
        <v>14025</v>
      </c>
      <c r="G75" s="44">
        <v>20764.3333333334</v>
      </c>
      <c r="H75" s="44">
        <v>17467.7148859005</v>
      </c>
      <c r="I75" s="44">
        <v>19616.2382953002</v>
      </c>
      <c r="J75" s="44">
        <v>19171</v>
      </c>
      <c r="K75" s="44">
        <v>6480</v>
      </c>
      <c r="L75" s="44">
        <v>1152</v>
      </c>
      <c r="M75" s="44">
        <v>2160</v>
      </c>
      <c r="N75" s="44">
        <v>0</v>
      </c>
      <c r="O75" s="44">
        <v>9792</v>
      </c>
      <c r="P75" s="44">
        <v>144</v>
      </c>
      <c r="Q75" s="44">
        <v>50</v>
      </c>
      <c r="R75" s="44">
        <v>27811</v>
      </c>
      <c r="S75" s="44">
        <v>42.5326195287858</v>
      </c>
      <c r="T75" s="44">
        <f t="shared" si="28"/>
        <v>22350.4453780675</v>
      </c>
      <c r="U75" s="44">
        <f t="shared" si="29"/>
        <v>8784</v>
      </c>
      <c r="V75" s="44">
        <f t="shared" si="27"/>
        <v>22350.4453780675</v>
      </c>
      <c r="W75" s="45">
        <f t="shared" si="30"/>
        <v>22320</v>
      </c>
      <c r="X75" s="44">
        <f t="shared" si="31"/>
        <v>49.9534385070025</v>
      </c>
      <c r="Y75" s="46">
        <f t="shared" si="32"/>
        <v>313038000</v>
      </c>
      <c r="Z75" s="44">
        <f t="shared" si="33"/>
        <v>291219775</v>
      </c>
      <c r="AA75" s="44">
        <f t="shared" si="34"/>
        <v>244984701.274755</v>
      </c>
      <c r="AB75" s="44">
        <f t="shared" si="35"/>
        <v>275117742.091585</v>
      </c>
      <c r="AC75" s="44">
        <f t="shared" si="36"/>
        <v>0</v>
      </c>
      <c r="AD75" s="44">
        <f t="shared" si="37"/>
        <v>390049275</v>
      </c>
      <c r="AE75" s="44">
        <f>IFERROR(VLOOKUP(C75,#REF!,5,0),0)</f>
        <v>0</v>
      </c>
      <c r="AF75" s="44">
        <f t="shared" si="38"/>
        <v>0</v>
      </c>
      <c r="AG75" s="44">
        <f t="shared" si="39"/>
        <v>0</v>
      </c>
      <c r="AH75" s="44">
        <f t="shared" si="40"/>
        <v>0</v>
      </c>
      <c r="AI75" s="44">
        <f t="shared" si="41"/>
        <v>0</v>
      </c>
      <c r="AJ75" s="44">
        <f t="shared" si="42"/>
        <v>0</v>
      </c>
      <c r="AK75" s="44">
        <f t="shared" si="43"/>
        <v>0</v>
      </c>
      <c r="AL75" s="43" t="s">
        <v>43</v>
      </c>
      <c r="AM75" s="47">
        <f t="shared" si="44"/>
        <v>13536</v>
      </c>
      <c r="AN75" s="43">
        <v>4176</v>
      </c>
      <c r="AO75" s="43">
        <v>6192</v>
      </c>
      <c r="AP75" s="48">
        <v>8640</v>
      </c>
      <c r="AQ75" s="3">
        <f>ROUNDUP(AN75/P75,0)*P75</f>
        <v>4176</v>
      </c>
      <c r="AR75" s="1">
        <f t="shared" si="45"/>
        <v>18144</v>
      </c>
    </row>
    <row r="76" spans="1:44">
      <c r="A76" s="42" t="e">
        <f t="shared" si="26"/>
        <v>#REF!</v>
      </c>
      <c r="B76" s="43" t="s">
        <v>26</v>
      </c>
      <c r="C76" s="43" t="s">
        <v>232</v>
      </c>
      <c r="D76" s="43" t="s">
        <v>233</v>
      </c>
      <c r="E76" s="43" t="s">
        <v>4</v>
      </c>
      <c r="F76" s="44">
        <v>42925</v>
      </c>
      <c r="G76" s="44">
        <v>302.000000000001</v>
      </c>
      <c r="H76" s="44">
        <v>530</v>
      </c>
      <c r="I76" s="44">
        <v>390.666666666667</v>
      </c>
      <c r="J76" s="44">
        <v>2071</v>
      </c>
      <c r="K76" s="44">
        <v>84</v>
      </c>
      <c r="L76" s="44">
        <v>12</v>
      </c>
      <c r="M76" s="44">
        <v>12</v>
      </c>
      <c r="N76" s="44">
        <v>0</v>
      </c>
      <c r="O76" s="44">
        <v>24</v>
      </c>
      <c r="P76" s="44">
        <v>12</v>
      </c>
      <c r="Q76" s="44">
        <v>42</v>
      </c>
      <c r="R76" s="44">
        <v>2167</v>
      </c>
      <c r="S76" s="44">
        <v>166.407849829352</v>
      </c>
      <c r="T76" s="44">
        <f t="shared" si="28"/>
        <v>0</v>
      </c>
      <c r="U76" s="44">
        <f t="shared" si="29"/>
        <v>24</v>
      </c>
      <c r="V76" s="44">
        <f t="shared" si="27"/>
        <v>0</v>
      </c>
      <c r="W76" s="45">
        <f t="shared" si="30"/>
        <v>0</v>
      </c>
      <c r="X76" s="44">
        <f t="shared" si="31"/>
        <v>125.70819112628</v>
      </c>
      <c r="Y76" s="46">
        <f t="shared" si="32"/>
        <v>0</v>
      </c>
      <c r="Z76" s="44">
        <f t="shared" si="33"/>
        <v>12963350.0000001</v>
      </c>
      <c r="AA76" s="44">
        <f t="shared" si="34"/>
        <v>22750250</v>
      </c>
      <c r="AB76" s="44">
        <f t="shared" si="35"/>
        <v>16769366.6666667</v>
      </c>
      <c r="AC76" s="44">
        <f t="shared" si="36"/>
        <v>0</v>
      </c>
      <c r="AD76" s="44">
        <f t="shared" si="37"/>
        <v>93018475</v>
      </c>
      <c r="AE76" s="44">
        <f>IFERROR(VLOOKUP(C76,#REF!,5,0),0)</f>
        <v>0</v>
      </c>
      <c r="AF76" s="44">
        <f t="shared" si="38"/>
        <v>0</v>
      </c>
      <c r="AG76" s="44">
        <f t="shared" si="39"/>
        <v>0</v>
      </c>
      <c r="AH76" s="44">
        <f t="shared" si="40"/>
        <v>0</v>
      </c>
      <c r="AI76" s="44">
        <f t="shared" si="41"/>
        <v>0</v>
      </c>
      <c r="AJ76" s="44">
        <f t="shared" si="42"/>
        <v>0</v>
      </c>
      <c r="AK76" s="44">
        <f t="shared" si="43"/>
        <v>0</v>
      </c>
      <c r="AL76" s="43" t="s">
        <v>38</v>
      </c>
      <c r="AM76" s="47">
        <f t="shared" si="44"/>
        <v>-24</v>
      </c>
      <c r="AN76" s="43">
        <v>12</v>
      </c>
      <c r="AO76" s="43">
        <v>12</v>
      </c>
      <c r="AP76" s="48">
        <v>12</v>
      </c>
      <c r="AQ76" s="3">
        <v>0</v>
      </c>
      <c r="AR76" s="1">
        <f t="shared" si="45"/>
        <v>0</v>
      </c>
    </row>
    <row r="77" spans="1:44">
      <c r="A77" s="42" t="e">
        <f t="shared" si="26"/>
        <v>#REF!</v>
      </c>
      <c r="B77" s="43" t="s">
        <v>26</v>
      </c>
      <c r="C77" s="43" t="s">
        <v>234</v>
      </c>
      <c r="D77" s="43" t="s">
        <v>235</v>
      </c>
      <c r="E77" s="43" t="s">
        <v>4</v>
      </c>
      <c r="F77" s="44">
        <v>15980</v>
      </c>
      <c r="G77" s="44">
        <v>668.000000000003</v>
      </c>
      <c r="H77" s="44">
        <v>548</v>
      </c>
      <c r="I77" s="44">
        <v>665.666666666667</v>
      </c>
      <c r="J77" s="44">
        <v>1966</v>
      </c>
      <c r="K77" s="44">
        <v>192</v>
      </c>
      <c r="L77" s="44">
        <v>0</v>
      </c>
      <c r="M77" s="44">
        <v>0</v>
      </c>
      <c r="N77" s="44">
        <v>0</v>
      </c>
      <c r="O77" s="44">
        <v>144</v>
      </c>
      <c r="P77" s="44">
        <v>48</v>
      </c>
      <c r="Q77" s="44">
        <v>42</v>
      </c>
      <c r="R77" s="44">
        <v>2158</v>
      </c>
      <c r="S77" s="44">
        <v>97.2558838257386</v>
      </c>
      <c r="T77" s="44">
        <f t="shared" si="28"/>
        <v>0</v>
      </c>
      <c r="U77" s="44">
        <f t="shared" si="29"/>
        <v>144</v>
      </c>
      <c r="V77" s="44">
        <v>0</v>
      </c>
      <c r="W77" s="45">
        <f t="shared" si="30"/>
        <v>0</v>
      </c>
      <c r="X77" s="44">
        <f t="shared" si="31"/>
        <v>72.5588382573861</v>
      </c>
      <c r="Y77" s="46">
        <f t="shared" si="32"/>
        <v>0</v>
      </c>
      <c r="Z77" s="44">
        <f t="shared" si="33"/>
        <v>10674640</v>
      </c>
      <c r="AA77" s="44">
        <f t="shared" si="34"/>
        <v>8757040</v>
      </c>
      <c r="AB77" s="44">
        <f t="shared" si="35"/>
        <v>10637353.3333333</v>
      </c>
      <c r="AC77" s="44">
        <f t="shared" si="36"/>
        <v>0</v>
      </c>
      <c r="AD77" s="44">
        <f t="shared" si="37"/>
        <v>34484840</v>
      </c>
      <c r="AE77" s="44">
        <f>IFERROR(VLOOKUP(C77,#REF!,5,0),0)</f>
        <v>0</v>
      </c>
      <c r="AF77" s="44">
        <f t="shared" si="38"/>
        <v>0</v>
      </c>
      <c r="AG77" s="44">
        <f t="shared" si="39"/>
        <v>0</v>
      </c>
      <c r="AH77" s="44">
        <f t="shared" si="40"/>
        <v>0</v>
      </c>
      <c r="AI77" s="44">
        <f t="shared" si="41"/>
        <v>0</v>
      </c>
      <c r="AJ77" s="44">
        <f t="shared" si="42"/>
        <v>0</v>
      </c>
      <c r="AK77" s="44">
        <f t="shared" si="43"/>
        <v>0</v>
      </c>
      <c r="AL77" s="43" t="s">
        <v>38</v>
      </c>
      <c r="AM77" s="47">
        <f t="shared" si="44"/>
        <v>-144</v>
      </c>
      <c r="AN77" s="43">
        <v>0</v>
      </c>
      <c r="AO77" s="43">
        <v>0</v>
      </c>
      <c r="AP77" s="48">
        <v>0</v>
      </c>
      <c r="AQ77" s="3">
        <f t="shared" ref="AQ77:AQ115" si="46">ROUNDUP(AN77/P77,0)*P77</f>
        <v>0</v>
      </c>
      <c r="AR77" s="1">
        <f t="shared" si="45"/>
        <v>0</v>
      </c>
    </row>
    <row r="78" spans="1:44">
      <c r="A78" s="42" t="e">
        <f t="shared" si="26"/>
        <v>#REF!</v>
      </c>
      <c r="B78" s="43" t="s">
        <v>26</v>
      </c>
      <c r="C78" s="43" t="s">
        <v>236</v>
      </c>
      <c r="D78" s="43" t="s">
        <v>237</v>
      </c>
      <c r="E78" s="43" t="s">
        <v>4</v>
      </c>
      <c r="F78" s="44">
        <v>81515</v>
      </c>
      <c r="G78" s="44">
        <v>2387.66666666664</v>
      </c>
      <c r="H78" s="44">
        <v>2364</v>
      </c>
      <c r="I78" s="44">
        <v>2451</v>
      </c>
      <c r="J78" s="44">
        <v>3965</v>
      </c>
      <c r="K78" s="44">
        <v>444</v>
      </c>
      <c r="L78" s="44">
        <v>12</v>
      </c>
      <c r="M78" s="44">
        <v>12</v>
      </c>
      <c r="N78" s="44">
        <v>0</v>
      </c>
      <c r="O78" s="44">
        <v>1296</v>
      </c>
      <c r="P78" s="44">
        <v>12</v>
      </c>
      <c r="Q78" s="44">
        <v>42</v>
      </c>
      <c r="R78" s="44">
        <v>4421</v>
      </c>
      <c r="S78" s="44">
        <v>54.1126070991432</v>
      </c>
      <c r="T78" s="44">
        <f t="shared" si="28"/>
        <v>1374.4</v>
      </c>
      <c r="U78" s="44">
        <f t="shared" si="29"/>
        <v>1296</v>
      </c>
      <c r="V78" s="44">
        <f t="shared" ref="V78:V111" si="47">IFERROR(IF(OR(I78&lt;=0,H78&lt;=0),0,IF(AND((J78+K78+M78+U78+N78-H78)/G78*30&lt;1.5*Q78,U78&gt;T78),U78,T78)),0)</f>
        <v>1374.4</v>
      </c>
      <c r="W78" s="45">
        <f t="shared" si="30"/>
        <v>1380</v>
      </c>
      <c r="X78" s="44">
        <f t="shared" si="31"/>
        <v>42.0685434516524</v>
      </c>
      <c r="Y78" s="46">
        <f t="shared" si="32"/>
        <v>112490700</v>
      </c>
      <c r="Z78" s="44">
        <f t="shared" si="33"/>
        <v>194630648.333331</v>
      </c>
      <c r="AA78" s="44">
        <f t="shared" si="34"/>
        <v>192701460</v>
      </c>
      <c r="AB78" s="44">
        <f t="shared" si="35"/>
        <v>199793265</v>
      </c>
      <c r="AC78" s="44">
        <f t="shared" si="36"/>
        <v>0</v>
      </c>
      <c r="AD78" s="44">
        <f t="shared" si="37"/>
        <v>360377815</v>
      </c>
      <c r="AE78" s="44">
        <f>IFERROR(VLOOKUP(C78,#REF!,5,0),0)</f>
        <v>0</v>
      </c>
      <c r="AF78" s="44">
        <f t="shared" si="38"/>
        <v>0</v>
      </c>
      <c r="AG78" s="44">
        <f t="shared" si="39"/>
        <v>0</v>
      </c>
      <c r="AH78" s="44">
        <f t="shared" si="40"/>
        <v>0</v>
      </c>
      <c r="AI78" s="44">
        <f t="shared" si="41"/>
        <v>0</v>
      </c>
      <c r="AJ78" s="44">
        <f t="shared" si="42"/>
        <v>0</v>
      </c>
      <c r="AK78" s="44">
        <f t="shared" si="43"/>
        <v>0</v>
      </c>
      <c r="AL78" s="43" t="s">
        <v>38</v>
      </c>
      <c r="AM78" s="47">
        <f t="shared" si="44"/>
        <v>84</v>
      </c>
      <c r="AN78" s="43">
        <v>756</v>
      </c>
      <c r="AO78" s="43">
        <v>1068</v>
      </c>
      <c r="AP78" s="48">
        <v>1416</v>
      </c>
      <c r="AQ78" s="3">
        <f t="shared" si="46"/>
        <v>756</v>
      </c>
      <c r="AR78" s="1">
        <f t="shared" si="45"/>
        <v>624</v>
      </c>
    </row>
    <row r="79" spans="1:44">
      <c r="A79" s="42" t="e">
        <f t="shared" si="26"/>
        <v>#REF!</v>
      </c>
      <c r="B79" s="43" t="s">
        <v>26</v>
      </c>
      <c r="C79" s="43" t="s">
        <v>238</v>
      </c>
      <c r="D79" s="43" t="s">
        <v>239</v>
      </c>
      <c r="E79" s="43" t="s">
        <v>4</v>
      </c>
      <c r="F79" s="44">
        <v>28900</v>
      </c>
      <c r="G79" s="44">
        <v>375.666666666667</v>
      </c>
      <c r="H79" s="44">
        <v>417</v>
      </c>
      <c r="I79" s="44">
        <v>386.666666666667</v>
      </c>
      <c r="J79" s="44">
        <v>6457</v>
      </c>
      <c r="K79" s="44">
        <v>0</v>
      </c>
      <c r="L79" s="44">
        <v>0</v>
      </c>
      <c r="M79" s="44">
        <v>24</v>
      </c>
      <c r="N79" s="44">
        <v>0</v>
      </c>
      <c r="O79" s="44">
        <v>0</v>
      </c>
      <c r="P79" s="44">
        <v>24</v>
      </c>
      <c r="Q79" s="44">
        <v>42</v>
      </c>
      <c r="R79" s="44">
        <v>6481</v>
      </c>
      <c r="S79" s="44">
        <v>502.836206896552</v>
      </c>
      <c r="T79" s="44">
        <f t="shared" si="28"/>
        <v>0</v>
      </c>
      <c r="U79" s="44">
        <f t="shared" si="29"/>
        <v>0</v>
      </c>
      <c r="V79" s="44">
        <f t="shared" si="47"/>
        <v>0</v>
      </c>
      <c r="W79" s="45">
        <f t="shared" si="30"/>
        <v>0</v>
      </c>
      <c r="X79" s="44">
        <f t="shared" si="31"/>
        <v>470.48275862069</v>
      </c>
      <c r="Y79" s="46">
        <f t="shared" si="32"/>
        <v>0</v>
      </c>
      <c r="Z79" s="44">
        <f t="shared" si="33"/>
        <v>10856766.6666667</v>
      </c>
      <c r="AA79" s="44">
        <f t="shared" si="34"/>
        <v>12051300</v>
      </c>
      <c r="AB79" s="44">
        <f t="shared" si="35"/>
        <v>11174666.6666667</v>
      </c>
      <c r="AC79" s="44">
        <f t="shared" si="36"/>
        <v>0</v>
      </c>
      <c r="AD79" s="44">
        <f t="shared" si="37"/>
        <v>187300900</v>
      </c>
      <c r="AE79" s="44">
        <f>IFERROR(VLOOKUP(C79,#REF!,5,0),0)</f>
        <v>0</v>
      </c>
      <c r="AF79" s="44">
        <f t="shared" si="38"/>
        <v>0</v>
      </c>
      <c r="AG79" s="44">
        <f t="shared" si="39"/>
        <v>0</v>
      </c>
      <c r="AH79" s="44">
        <f t="shared" si="40"/>
        <v>0</v>
      </c>
      <c r="AI79" s="44">
        <f t="shared" si="41"/>
        <v>0</v>
      </c>
      <c r="AJ79" s="44">
        <f t="shared" si="42"/>
        <v>0</v>
      </c>
      <c r="AK79" s="44">
        <f t="shared" si="43"/>
        <v>0</v>
      </c>
      <c r="AL79" s="43" t="s">
        <v>38</v>
      </c>
      <c r="AM79" s="47">
        <f t="shared" si="44"/>
        <v>0</v>
      </c>
      <c r="AN79" s="43">
        <v>0</v>
      </c>
      <c r="AO79" s="43">
        <v>0</v>
      </c>
      <c r="AP79" s="48">
        <v>0</v>
      </c>
      <c r="AQ79" s="3">
        <f t="shared" si="46"/>
        <v>0</v>
      </c>
      <c r="AR79" s="1">
        <f t="shared" si="45"/>
        <v>0</v>
      </c>
    </row>
    <row r="80" spans="1:44">
      <c r="A80" s="42" t="e">
        <f t="shared" si="26"/>
        <v>#REF!</v>
      </c>
      <c r="B80" s="43" t="s">
        <v>26</v>
      </c>
      <c r="C80" s="43" t="s">
        <v>240</v>
      </c>
      <c r="D80" s="43" t="s">
        <v>241</v>
      </c>
      <c r="E80" s="43" t="s">
        <v>3</v>
      </c>
      <c r="F80" s="44">
        <v>11815</v>
      </c>
      <c r="G80" s="44">
        <v>38095.6666666667</v>
      </c>
      <c r="H80" s="44">
        <v>38019</v>
      </c>
      <c r="I80" s="44">
        <v>39655.3333333333</v>
      </c>
      <c r="J80" s="44">
        <v>52631</v>
      </c>
      <c r="K80" s="44">
        <v>7464</v>
      </c>
      <c r="L80" s="44">
        <v>1272</v>
      </c>
      <c r="M80" s="44">
        <v>1392</v>
      </c>
      <c r="N80" s="44">
        <v>0</v>
      </c>
      <c r="O80" s="44">
        <v>10440</v>
      </c>
      <c r="P80" s="44">
        <v>24</v>
      </c>
      <c r="Q80" s="44">
        <v>42</v>
      </c>
      <c r="R80" s="44">
        <v>61487</v>
      </c>
      <c r="S80" s="44">
        <v>46.516063413076</v>
      </c>
      <c r="T80" s="44">
        <f t="shared" si="28"/>
        <v>32049.4666666667</v>
      </c>
      <c r="U80" s="44">
        <f t="shared" si="29"/>
        <v>10320</v>
      </c>
      <c r="V80" s="44">
        <f t="shared" si="47"/>
        <v>32049.4666666667</v>
      </c>
      <c r="W80" s="45">
        <f t="shared" si="30"/>
        <v>32040</v>
      </c>
      <c r="X80" s="44">
        <f t="shared" si="31"/>
        <v>41.9928382899316</v>
      </c>
      <c r="Y80" s="46">
        <f t="shared" si="32"/>
        <v>378552600</v>
      </c>
      <c r="Z80" s="44">
        <f t="shared" si="33"/>
        <v>450100301.666667</v>
      </c>
      <c r="AA80" s="44">
        <f t="shared" si="34"/>
        <v>449194485</v>
      </c>
      <c r="AB80" s="44">
        <f t="shared" si="35"/>
        <v>468527763.333333</v>
      </c>
      <c r="AC80" s="44">
        <f t="shared" si="36"/>
        <v>0</v>
      </c>
      <c r="AD80" s="44">
        <f t="shared" si="37"/>
        <v>726468905</v>
      </c>
      <c r="AE80" s="44">
        <f>IFERROR(VLOOKUP(C80,#REF!,5,0),0)</f>
        <v>0</v>
      </c>
      <c r="AF80" s="44">
        <f t="shared" si="38"/>
        <v>0</v>
      </c>
      <c r="AG80" s="44">
        <f t="shared" si="39"/>
        <v>0</v>
      </c>
      <c r="AH80" s="44">
        <f t="shared" si="40"/>
        <v>0</v>
      </c>
      <c r="AI80" s="44">
        <f t="shared" si="41"/>
        <v>0</v>
      </c>
      <c r="AJ80" s="44">
        <f t="shared" si="42"/>
        <v>0</v>
      </c>
      <c r="AK80" s="44">
        <f t="shared" si="43"/>
        <v>0</v>
      </c>
      <c r="AL80" s="43" t="s">
        <v>38</v>
      </c>
      <c r="AM80" s="47">
        <f t="shared" si="44"/>
        <v>21720</v>
      </c>
      <c r="AN80" s="43">
        <v>4104</v>
      </c>
      <c r="AO80" s="43">
        <v>6672</v>
      </c>
      <c r="AP80" s="48">
        <v>9288</v>
      </c>
      <c r="AQ80" s="3">
        <f t="shared" si="46"/>
        <v>4104</v>
      </c>
      <c r="AR80" s="1">
        <f t="shared" si="45"/>
        <v>27936</v>
      </c>
    </row>
    <row r="81" spans="1:44">
      <c r="A81" s="42" t="e">
        <f t="shared" si="26"/>
        <v>#REF!</v>
      </c>
      <c r="B81" s="43" t="s">
        <v>26</v>
      </c>
      <c r="C81" s="43" t="s">
        <v>242</v>
      </c>
      <c r="D81" s="43" t="s">
        <v>243</v>
      </c>
      <c r="E81" s="43" t="s">
        <v>3</v>
      </c>
      <c r="F81" s="44">
        <v>20570</v>
      </c>
      <c r="G81" s="44">
        <v>9266.33333333331</v>
      </c>
      <c r="H81" s="44">
        <v>8092</v>
      </c>
      <c r="I81" s="44">
        <v>8456.33333333333</v>
      </c>
      <c r="J81" s="44">
        <v>9137</v>
      </c>
      <c r="K81" s="44">
        <v>168</v>
      </c>
      <c r="L81" s="44">
        <v>1920</v>
      </c>
      <c r="M81" s="44">
        <v>6840</v>
      </c>
      <c r="N81" s="44">
        <v>0</v>
      </c>
      <c r="O81" s="44">
        <v>4512</v>
      </c>
      <c r="P81" s="44">
        <v>24</v>
      </c>
      <c r="Q81" s="44">
        <v>42</v>
      </c>
      <c r="R81" s="44">
        <v>16145</v>
      </c>
      <c r="S81" s="44">
        <v>57.2765974220505</v>
      </c>
      <c r="T81" s="44">
        <f t="shared" si="28"/>
        <v>3785.86666666667</v>
      </c>
      <c r="U81" s="44">
        <f t="shared" si="29"/>
        <v>0</v>
      </c>
      <c r="V81" s="44">
        <f t="shared" si="47"/>
        <v>3785.86666666667</v>
      </c>
      <c r="W81" s="45">
        <f t="shared" si="30"/>
        <v>3792</v>
      </c>
      <c r="X81" s="44">
        <f t="shared" si="31"/>
        <v>42.0217588395286</v>
      </c>
      <c r="Y81" s="46">
        <f t="shared" si="32"/>
        <v>78001440</v>
      </c>
      <c r="Z81" s="44">
        <f t="shared" si="33"/>
        <v>190608476.666666</v>
      </c>
      <c r="AA81" s="44">
        <f t="shared" si="34"/>
        <v>166452440</v>
      </c>
      <c r="AB81" s="44">
        <f t="shared" si="35"/>
        <v>173946776.666667</v>
      </c>
      <c r="AC81" s="44">
        <f t="shared" si="36"/>
        <v>0</v>
      </c>
      <c r="AD81" s="44">
        <f t="shared" si="37"/>
        <v>332102650</v>
      </c>
      <c r="AE81" s="44">
        <f>IFERROR(VLOOKUP(C81,#REF!,5,0),0)</f>
        <v>0</v>
      </c>
      <c r="AF81" s="44">
        <f t="shared" si="38"/>
        <v>0</v>
      </c>
      <c r="AG81" s="44">
        <f t="shared" si="39"/>
        <v>0</v>
      </c>
      <c r="AH81" s="44">
        <f t="shared" si="40"/>
        <v>0</v>
      </c>
      <c r="AI81" s="44">
        <f t="shared" si="41"/>
        <v>0</v>
      </c>
      <c r="AJ81" s="44">
        <f t="shared" si="42"/>
        <v>0</v>
      </c>
      <c r="AK81" s="44">
        <f t="shared" si="43"/>
        <v>0</v>
      </c>
      <c r="AL81" s="43" t="s">
        <v>38</v>
      </c>
      <c r="AM81" s="47">
        <f t="shared" si="44"/>
        <v>3792</v>
      </c>
      <c r="AN81" s="43">
        <v>0</v>
      </c>
      <c r="AO81" s="43">
        <v>0</v>
      </c>
      <c r="AP81" s="48">
        <v>0</v>
      </c>
      <c r="AQ81" s="3">
        <f t="shared" si="46"/>
        <v>0</v>
      </c>
      <c r="AR81" s="1">
        <f t="shared" si="45"/>
        <v>3792</v>
      </c>
    </row>
    <row r="82" spans="1:44">
      <c r="A82" s="42" t="e">
        <f t="shared" si="26"/>
        <v>#REF!</v>
      </c>
      <c r="B82" s="43" t="s">
        <v>26</v>
      </c>
      <c r="C82" s="43" t="s">
        <v>244</v>
      </c>
      <c r="D82" s="43" t="s">
        <v>245</v>
      </c>
      <c r="E82" s="43" t="s">
        <v>3</v>
      </c>
      <c r="F82" s="44">
        <v>11815</v>
      </c>
      <c r="G82" s="44">
        <v>21083.6666666667</v>
      </c>
      <c r="H82" s="44">
        <v>21216</v>
      </c>
      <c r="I82" s="44">
        <v>22180.3333333333</v>
      </c>
      <c r="J82" s="44">
        <v>26287</v>
      </c>
      <c r="K82" s="44">
        <v>4200</v>
      </c>
      <c r="L82" s="44">
        <v>1032</v>
      </c>
      <c r="M82" s="44">
        <v>1512</v>
      </c>
      <c r="N82" s="44">
        <v>0</v>
      </c>
      <c r="O82" s="44">
        <v>9096</v>
      </c>
      <c r="P82" s="44">
        <v>24</v>
      </c>
      <c r="Q82" s="44">
        <v>42</v>
      </c>
      <c r="R82" s="44">
        <v>31999</v>
      </c>
      <c r="S82" s="44">
        <v>43.2802332396568</v>
      </c>
      <c r="T82" s="44">
        <f t="shared" si="28"/>
        <v>20269.4666666667</v>
      </c>
      <c r="U82" s="44">
        <f t="shared" si="29"/>
        <v>8616</v>
      </c>
      <c r="V82" s="44">
        <f t="shared" si="47"/>
        <v>20269.4666666667</v>
      </c>
      <c r="W82" s="45">
        <f t="shared" si="30"/>
        <v>20280</v>
      </c>
      <c r="X82" s="44">
        <f t="shared" si="31"/>
        <v>42.0142468553223</v>
      </c>
      <c r="Y82" s="46">
        <f t="shared" si="32"/>
        <v>239608200</v>
      </c>
      <c r="Z82" s="44">
        <f t="shared" si="33"/>
        <v>249103521.666667</v>
      </c>
      <c r="AA82" s="44">
        <f t="shared" si="34"/>
        <v>250667040</v>
      </c>
      <c r="AB82" s="44">
        <f t="shared" si="35"/>
        <v>262060638.333333</v>
      </c>
      <c r="AC82" s="44">
        <f t="shared" si="36"/>
        <v>0</v>
      </c>
      <c r="AD82" s="44">
        <f t="shared" si="37"/>
        <v>378068185</v>
      </c>
      <c r="AE82" s="44">
        <f>IFERROR(VLOOKUP(C82,#REF!,5,0),0)</f>
        <v>0</v>
      </c>
      <c r="AF82" s="44">
        <f t="shared" si="38"/>
        <v>0</v>
      </c>
      <c r="AG82" s="44">
        <f t="shared" si="39"/>
        <v>0</v>
      </c>
      <c r="AH82" s="44">
        <f t="shared" si="40"/>
        <v>0</v>
      </c>
      <c r="AI82" s="44">
        <f t="shared" si="41"/>
        <v>0</v>
      </c>
      <c r="AJ82" s="44">
        <f t="shared" si="42"/>
        <v>0</v>
      </c>
      <c r="AK82" s="44">
        <f t="shared" si="43"/>
        <v>0</v>
      </c>
      <c r="AL82" s="43" t="s">
        <v>38</v>
      </c>
      <c r="AM82" s="47">
        <f t="shared" si="44"/>
        <v>11664</v>
      </c>
      <c r="AN82" s="43">
        <v>3336</v>
      </c>
      <c r="AO82" s="43">
        <v>5592</v>
      </c>
      <c r="AP82" s="48">
        <v>7872</v>
      </c>
      <c r="AQ82" s="3">
        <f t="shared" si="46"/>
        <v>3336</v>
      </c>
      <c r="AR82" s="1">
        <f t="shared" si="45"/>
        <v>16944</v>
      </c>
    </row>
    <row r="83" spans="1:44">
      <c r="A83" s="42" t="e">
        <f t="shared" si="26"/>
        <v>#REF!</v>
      </c>
      <c r="B83" s="43" t="s">
        <v>26</v>
      </c>
      <c r="C83" s="43" t="s">
        <v>246</v>
      </c>
      <c r="D83" s="43" t="s">
        <v>247</v>
      </c>
      <c r="E83" s="43" t="s">
        <v>4</v>
      </c>
      <c r="F83" s="44">
        <v>42925</v>
      </c>
      <c r="G83" s="44">
        <v>49.9999999999999</v>
      </c>
      <c r="H83" s="44">
        <v>82</v>
      </c>
      <c r="I83" s="44">
        <v>69</v>
      </c>
      <c r="J83" s="44">
        <v>172</v>
      </c>
      <c r="K83" s="44">
        <v>0</v>
      </c>
      <c r="L83" s="44">
        <v>0</v>
      </c>
      <c r="M83" s="44">
        <v>0</v>
      </c>
      <c r="N83" s="44">
        <v>0</v>
      </c>
      <c r="O83" s="44">
        <v>132</v>
      </c>
      <c r="P83" s="44">
        <v>12</v>
      </c>
      <c r="Q83" s="44">
        <v>42</v>
      </c>
      <c r="R83" s="44">
        <v>172</v>
      </c>
      <c r="S83" s="44">
        <v>74.7826086956522</v>
      </c>
      <c r="T83" s="44">
        <f t="shared" si="28"/>
        <v>6.59999999999997</v>
      </c>
      <c r="U83" s="44">
        <f t="shared" si="29"/>
        <v>132</v>
      </c>
      <c r="V83" s="44">
        <f t="shared" si="47"/>
        <v>6.59999999999997</v>
      </c>
      <c r="W83" s="45">
        <f t="shared" si="30"/>
        <v>12</v>
      </c>
      <c r="X83" s="44">
        <f t="shared" si="31"/>
        <v>44.3478260869565</v>
      </c>
      <c r="Y83" s="46">
        <f t="shared" si="32"/>
        <v>515100</v>
      </c>
      <c r="Z83" s="44">
        <f t="shared" si="33"/>
        <v>2146250</v>
      </c>
      <c r="AA83" s="44">
        <f t="shared" si="34"/>
        <v>3519850</v>
      </c>
      <c r="AB83" s="44">
        <f t="shared" si="35"/>
        <v>2961825</v>
      </c>
      <c r="AC83" s="44">
        <f t="shared" si="36"/>
        <v>0</v>
      </c>
      <c r="AD83" s="44">
        <f t="shared" si="37"/>
        <v>7383100</v>
      </c>
      <c r="AE83" s="44">
        <f>IFERROR(VLOOKUP(C83,#REF!,5,0),0)</f>
        <v>0</v>
      </c>
      <c r="AF83" s="44">
        <f t="shared" si="38"/>
        <v>0</v>
      </c>
      <c r="AG83" s="44">
        <f t="shared" si="39"/>
        <v>0</v>
      </c>
      <c r="AH83" s="44">
        <f t="shared" si="40"/>
        <v>0</v>
      </c>
      <c r="AI83" s="44">
        <f t="shared" si="41"/>
        <v>0</v>
      </c>
      <c r="AJ83" s="44">
        <f t="shared" si="42"/>
        <v>0</v>
      </c>
      <c r="AK83" s="44">
        <f t="shared" si="43"/>
        <v>0</v>
      </c>
      <c r="AL83" s="43" t="s">
        <v>38</v>
      </c>
      <c r="AM83" s="47">
        <f t="shared" si="44"/>
        <v>-120</v>
      </c>
      <c r="AN83" s="43">
        <v>0</v>
      </c>
      <c r="AO83" s="43">
        <v>0</v>
      </c>
      <c r="AP83" s="48">
        <v>0</v>
      </c>
      <c r="AQ83" s="3">
        <f t="shared" si="46"/>
        <v>0</v>
      </c>
      <c r="AR83" s="1">
        <f t="shared" si="45"/>
        <v>12</v>
      </c>
    </row>
    <row r="84" spans="1:44">
      <c r="A84" s="42" t="e">
        <f t="shared" si="26"/>
        <v>#REF!</v>
      </c>
      <c r="B84" s="43" t="s">
        <v>26</v>
      </c>
      <c r="C84" s="43" t="s">
        <v>248</v>
      </c>
      <c r="D84" s="43" t="s">
        <v>249</v>
      </c>
      <c r="E84" s="43" t="s">
        <v>3</v>
      </c>
      <c r="F84" s="44">
        <v>20315</v>
      </c>
      <c r="G84" s="44">
        <v>25826.3333333333</v>
      </c>
      <c r="H84" s="44">
        <v>27758</v>
      </c>
      <c r="I84" s="44">
        <v>29432</v>
      </c>
      <c r="J84" s="44">
        <v>0</v>
      </c>
      <c r="K84" s="44">
        <v>5136</v>
      </c>
      <c r="L84" s="44">
        <v>624</v>
      </c>
      <c r="M84" s="44">
        <v>0</v>
      </c>
      <c r="N84" s="44">
        <v>0</v>
      </c>
      <c r="O84" s="44">
        <v>4800</v>
      </c>
      <c r="P84" s="44">
        <v>48</v>
      </c>
      <c r="Q84" s="44">
        <v>42</v>
      </c>
      <c r="R84" s="44">
        <v>5136</v>
      </c>
      <c r="S84" s="44">
        <v>5.23511823865181</v>
      </c>
      <c r="T84" s="44">
        <f t="shared" si="28"/>
        <v>63826.8</v>
      </c>
      <c r="U84" s="44">
        <f t="shared" si="29"/>
        <v>5424</v>
      </c>
      <c r="V84" s="44">
        <f t="shared" si="47"/>
        <v>63826.8</v>
      </c>
      <c r="W84" s="45">
        <f t="shared" si="30"/>
        <v>63840</v>
      </c>
      <c r="X84" s="44">
        <f t="shared" si="31"/>
        <v>42.0134547431367</v>
      </c>
      <c r="Y84" s="46">
        <f t="shared" si="32"/>
        <v>1296909600</v>
      </c>
      <c r="Z84" s="44">
        <f t="shared" si="33"/>
        <v>524661961.666666</v>
      </c>
      <c r="AA84" s="44">
        <f t="shared" si="34"/>
        <v>563903770</v>
      </c>
      <c r="AB84" s="44">
        <f t="shared" si="35"/>
        <v>597911080</v>
      </c>
      <c r="AC84" s="44">
        <f t="shared" si="36"/>
        <v>0</v>
      </c>
      <c r="AD84" s="44">
        <f t="shared" si="37"/>
        <v>104337840</v>
      </c>
      <c r="AE84" s="44">
        <f>IFERROR(VLOOKUP(C84,#REF!,5,0),0)</f>
        <v>0</v>
      </c>
      <c r="AF84" s="44">
        <f t="shared" si="38"/>
        <v>0</v>
      </c>
      <c r="AG84" s="44">
        <f t="shared" si="39"/>
        <v>0</v>
      </c>
      <c r="AH84" s="44">
        <f t="shared" si="40"/>
        <v>0</v>
      </c>
      <c r="AI84" s="44">
        <f t="shared" si="41"/>
        <v>0</v>
      </c>
      <c r="AJ84" s="44">
        <f t="shared" si="42"/>
        <v>0</v>
      </c>
      <c r="AK84" s="44">
        <f t="shared" si="43"/>
        <v>0</v>
      </c>
      <c r="AL84" s="43" t="s">
        <v>38</v>
      </c>
      <c r="AM84" s="47">
        <f t="shared" si="44"/>
        <v>58416</v>
      </c>
      <c r="AN84" s="43">
        <v>0</v>
      </c>
      <c r="AO84" s="43">
        <v>0</v>
      </c>
      <c r="AP84" s="48">
        <v>960</v>
      </c>
      <c r="AQ84" s="3">
        <f t="shared" si="46"/>
        <v>0</v>
      </c>
      <c r="AR84" s="1">
        <f t="shared" si="45"/>
        <v>63840</v>
      </c>
    </row>
    <row r="85" spans="1:44">
      <c r="A85" s="42" t="e">
        <f t="shared" si="26"/>
        <v>#REF!</v>
      </c>
      <c r="B85" s="43" t="s">
        <v>26</v>
      </c>
      <c r="C85" s="43" t="s">
        <v>250</v>
      </c>
      <c r="D85" s="43" t="s">
        <v>251</v>
      </c>
      <c r="E85" s="43" t="s">
        <v>3</v>
      </c>
      <c r="F85" s="44">
        <v>29155</v>
      </c>
      <c r="G85" s="44">
        <v>5778.99999999999</v>
      </c>
      <c r="H85" s="44">
        <v>6485</v>
      </c>
      <c r="I85" s="44">
        <v>6008</v>
      </c>
      <c r="J85" s="44">
        <v>2370</v>
      </c>
      <c r="K85" s="44">
        <v>5088</v>
      </c>
      <c r="L85" s="44">
        <v>1128</v>
      </c>
      <c r="M85" s="44">
        <v>3528</v>
      </c>
      <c r="N85" s="44">
        <v>0</v>
      </c>
      <c r="O85" s="44">
        <v>3360</v>
      </c>
      <c r="P85" s="44">
        <v>24</v>
      </c>
      <c r="Q85" s="44">
        <v>42</v>
      </c>
      <c r="R85" s="44">
        <v>10986</v>
      </c>
      <c r="S85" s="44">
        <v>54.8568575233023</v>
      </c>
      <c r="T85" s="44">
        <f t="shared" si="28"/>
        <v>3910.2</v>
      </c>
      <c r="U85" s="44">
        <f t="shared" si="29"/>
        <v>960</v>
      </c>
      <c r="V85" s="44">
        <f t="shared" si="47"/>
        <v>3910.2</v>
      </c>
      <c r="W85" s="45">
        <f t="shared" si="30"/>
        <v>3912</v>
      </c>
      <c r="X85" s="44">
        <f t="shared" si="31"/>
        <v>42.0089880159787</v>
      </c>
      <c r="Y85" s="46">
        <f t="shared" si="32"/>
        <v>114054360</v>
      </c>
      <c r="Z85" s="44">
        <f t="shared" si="33"/>
        <v>168486745</v>
      </c>
      <c r="AA85" s="44">
        <f t="shared" si="34"/>
        <v>189070175</v>
      </c>
      <c r="AB85" s="44">
        <f t="shared" si="35"/>
        <v>175163240</v>
      </c>
      <c r="AC85" s="44">
        <f t="shared" si="36"/>
        <v>0</v>
      </c>
      <c r="AD85" s="44">
        <f t="shared" si="37"/>
        <v>320296830</v>
      </c>
      <c r="AE85" s="44">
        <f>IFERROR(VLOOKUP(C85,#REF!,5,0),0)</f>
        <v>0</v>
      </c>
      <c r="AF85" s="44">
        <f t="shared" si="38"/>
        <v>0</v>
      </c>
      <c r="AG85" s="44">
        <f t="shared" si="39"/>
        <v>0</v>
      </c>
      <c r="AH85" s="44">
        <f t="shared" si="40"/>
        <v>0</v>
      </c>
      <c r="AI85" s="44">
        <f t="shared" si="41"/>
        <v>0</v>
      </c>
      <c r="AJ85" s="44">
        <f t="shared" si="42"/>
        <v>0</v>
      </c>
      <c r="AK85" s="44">
        <f t="shared" si="43"/>
        <v>0</v>
      </c>
      <c r="AL85" s="43" t="s">
        <v>38</v>
      </c>
      <c r="AM85" s="47">
        <f t="shared" si="44"/>
        <v>2952</v>
      </c>
      <c r="AN85" s="43">
        <v>0</v>
      </c>
      <c r="AO85" s="43">
        <v>0</v>
      </c>
      <c r="AP85" s="48">
        <v>168</v>
      </c>
      <c r="AQ85" s="3">
        <f t="shared" si="46"/>
        <v>0</v>
      </c>
      <c r="AR85" s="1">
        <f t="shared" si="45"/>
        <v>3912</v>
      </c>
    </row>
    <row r="86" spans="1:44">
      <c r="A86" s="42" t="e">
        <f t="shared" si="26"/>
        <v>#REF!</v>
      </c>
      <c r="B86" s="43" t="s">
        <v>26</v>
      </c>
      <c r="C86" s="43" t="s">
        <v>252</v>
      </c>
      <c r="D86" s="43" t="s">
        <v>253</v>
      </c>
      <c r="E86" s="43" t="s">
        <v>3</v>
      </c>
      <c r="F86" s="44">
        <v>19465</v>
      </c>
      <c r="G86" s="44">
        <v>19727.3333333334</v>
      </c>
      <c r="H86" s="44">
        <v>22419</v>
      </c>
      <c r="I86" s="44">
        <v>20858</v>
      </c>
      <c r="J86" s="44">
        <v>37596</v>
      </c>
      <c r="K86" s="44">
        <v>5088</v>
      </c>
      <c r="L86" s="44">
        <v>0</v>
      </c>
      <c r="M86" s="44">
        <v>1248</v>
      </c>
      <c r="N86" s="44">
        <v>0</v>
      </c>
      <c r="O86" s="44">
        <v>4224</v>
      </c>
      <c r="P86" s="44">
        <v>48</v>
      </c>
      <c r="Q86" s="44">
        <v>42</v>
      </c>
      <c r="R86" s="44">
        <v>43932</v>
      </c>
      <c r="S86" s="44">
        <v>63.1872662767284</v>
      </c>
      <c r="T86" s="44">
        <f t="shared" si="28"/>
        <v>7688.2</v>
      </c>
      <c r="U86" s="44">
        <f t="shared" si="29"/>
        <v>2976</v>
      </c>
      <c r="V86" s="44">
        <f t="shared" si="47"/>
        <v>7688.2</v>
      </c>
      <c r="W86" s="45">
        <f t="shared" si="30"/>
        <v>7680</v>
      </c>
      <c r="X86" s="44">
        <f t="shared" si="31"/>
        <v>41.9882059641385</v>
      </c>
      <c r="Y86" s="46">
        <f t="shared" si="32"/>
        <v>149491200</v>
      </c>
      <c r="Z86" s="44">
        <f t="shared" si="33"/>
        <v>383992543.333334</v>
      </c>
      <c r="AA86" s="44">
        <f t="shared" si="34"/>
        <v>436385835</v>
      </c>
      <c r="AB86" s="44">
        <f t="shared" si="35"/>
        <v>406000970</v>
      </c>
      <c r="AC86" s="44">
        <f t="shared" si="36"/>
        <v>0</v>
      </c>
      <c r="AD86" s="44">
        <f t="shared" si="37"/>
        <v>855136380</v>
      </c>
      <c r="AE86" s="44">
        <f>IFERROR(VLOOKUP(C86,#REF!,5,0),0)</f>
        <v>0</v>
      </c>
      <c r="AF86" s="44">
        <f t="shared" si="38"/>
        <v>0</v>
      </c>
      <c r="AG86" s="44">
        <f t="shared" si="39"/>
        <v>0</v>
      </c>
      <c r="AH86" s="44">
        <f t="shared" si="40"/>
        <v>0</v>
      </c>
      <c r="AI86" s="44">
        <f t="shared" si="41"/>
        <v>0</v>
      </c>
      <c r="AJ86" s="44">
        <f t="shared" si="42"/>
        <v>0</v>
      </c>
      <c r="AK86" s="44">
        <f t="shared" si="43"/>
        <v>0</v>
      </c>
      <c r="AL86" s="43" t="s">
        <v>38</v>
      </c>
      <c r="AM86" s="47">
        <f t="shared" si="44"/>
        <v>4704</v>
      </c>
      <c r="AN86" s="43">
        <v>1104</v>
      </c>
      <c r="AO86" s="43">
        <v>2256</v>
      </c>
      <c r="AP86" s="48">
        <v>3216</v>
      </c>
      <c r="AQ86" s="3">
        <f t="shared" si="46"/>
        <v>1104</v>
      </c>
      <c r="AR86" s="1">
        <f t="shared" si="45"/>
        <v>6576</v>
      </c>
    </row>
    <row r="87" spans="1:44">
      <c r="A87" s="42" t="e">
        <f t="shared" si="26"/>
        <v>#REF!</v>
      </c>
      <c r="B87" s="43" t="s">
        <v>26</v>
      </c>
      <c r="C87" s="43" t="s">
        <v>254</v>
      </c>
      <c r="D87" s="43" t="s">
        <v>255</v>
      </c>
      <c r="E87" s="43" t="s">
        <v>4</v>
      </c>
      <c r="F87" s="44">
        <v>29240</v>
      </c>
      <c r="G87" s="44">
        <v>4075.99999999998</v>
      </c>
      <c r="H87" s="44">
        <v>4159</v>
      </c>
      <c r="I87" s="44">
        <v>4181.66666666667</v>
      </c>
      <c r="J87" s="44">
        <v>4513</v>
      </c>
      <c r="K87" s="44">
        <v>1368</v>
      </c>
      <c r="L87" s="44">
        <v>48</v>
      </c>
      <c r="M87" s="44">
        <v>192</v>
      </c>
      <c r="N87" s="44">
        <v>0</v>
      </c>
      <c r="O87" s="44">
        <v>2544</v>
      </c>
      <c r="P87" s="44">
        <v>24</v>
      </c>
      <c r="Q87" s="44">
        <v>42</v>
      </c>
      <c r="R87" s="44">
        <v>6073</v>
      </c>
      <c r="S87" s="44">
        <v>43.5687524910323</v>
      </c>
      <c r="T87" s="44">
        <f t="shared" si="28"/>
        <v>3940.33333333333</v>
      </c>
      <c r="U87" s="44">
        <f t="shared" si="29"/>
        <v>2400</v>
      </c>
      <c r="V87" s="44">
        <f t="shared" si="47"/>
        <v>3940.33333333333</v>
      </c>
      <c r="W87" s="45">
        <f t="shared" si="30"/>
        <v>3936</v>
      </c>
      <c r="X87" s="44">
        <f t="shared" si="31"/>
        <v>41.9689119170985</v>
      </c>
      <c r="Y87" s="46">
        <f t="shared" si="32"/>
        <v>115088640</v>
      </c>
      <c r="Z87" s="44">
        <f t="shared" si="33"/>
        <v>119182239.999999</v>
      </c>
      <c r="AA87" s="44">
        <f t="shared" si="34"/>
        <v>121609160</v>
      </c>
      <c r="AB87" s="44">
        <f t="shared" si="35"/>
        <v>122271933.333333</v>
      </c>
      <c r="AC87" s="44">
        <f t="shared" si="36"/>
        <v>0</v>
      </c>
      <c r="AD87" s="44">
        <f t="shared" si="37"/>
        <v>177574520</v>
      </c>
      <c r="AE87" s="44">
        <f>IFERROR(VLOOKUP(C87,#REF!,5,0),0)</f>
        <v>0</v>
      </c>
      <c r="AF87" s="44">
        <f t="shared" si="38"/>
        <v>0</v>
      </c>
      <c r="AG87" s="44">
        <f t="shared" si="39"/>
        <v>0</v>
      </c>
      <c r="AH87" s="44">
        <f t="shared" si="40"/>
        <v>0</v>
      </c>
      <c r="AI87" s="44">
        <f t="shared" si="41"/>
        <v>0</v>
      </c>
      <c r="AJ87" s="44">
        <f t="shared" si="42"/>
        <v>0</v>
      </c>
      <c r="AK87" s="44">
        <f t="shared" si="43"/>
        <v>0</v>
      </c>
      <c r="AL87" s="43" t="s">
        <v>38</v>
      </c>
      <c r="AM87" s="47">
        <f t="shared" si="44"/>
        <v>1536</v>
      </c>
      <c r="AN87" s="43">
        <v>1320</v>
      </c>
      <c r="AO87" s="43">
        <v>1872</v>
      </c>
      <c r="AP87" s="48">
        <v>2544</v>
      </c>
      <c r="AQ87" s="3">
        <f t="shared" si="46"/>
        <v>1320</v>
      </c>
      <c r="AR87" s="1">
        <f t="shared" si="45"/>
        <v>2616</v>
      </c>
    </row>
    <row r="88" spans="1:44">
      <c r="A88" s="42" t="e">
        <f t="shared" si="26"/>
        <v>#REF!</v>
      </c>
      <c r="B88" s="43" t="s">
        <v>26</v>
      </c>
      <c r="C88" s="43" t="s">
        <v>256</v>
      </c>
      <c r="D88" s="43" t="s">
        <v>257</v>
      </c>
      <c r="E88" s="43" t="s">
        <v>3</v>
      </c>
      <c r="F88" s="44">
        <v>26350</v>
      </c>
      <c r="G88" s="44">
        <v>7117.66666666661</v>
      </c>
      <c r="H88" s="44">
        <v>6810</v>
      </c>
      <c r="I88" s="44">
        <v>7482</v>
      </c>
      <c r="J88" s="44">
        <v>10641</v>
      </c>
      <c r="K88" s="44">
        <v>672</v>
      </c>
      <c r="L88" s="44">
        <v>360</v>
      </c>
      <c r="M88" s="44">
        <v>1320</v>
      </c>
      <c r="N88" s="44">
        <v>0</v>
      </c>
      <c r="O88" s="44">
        <v>2904</v>
      </c>
      <c r="P88" s="44">
        <v>24</v>
      </c>
      <c r="Q88" s="44">
        <v>42</v>
      </c>
      <c r="R88" s="44">
        <v>12633</v>
      </c>
      <c r="S88" s="44">
        <v>50.6535685645549</v>
      </c>
      <c r="T88" s="44">
        <f t="shared" si="28"/>
        <v>4651.8</v>
      </c>
      <c r="U88" s="44">
        <f t="shared" si="29"/>
        <v>1944</v>
      </c>
      <c r="V88" s="44">
        <f t="shared" si="47"/>
        <v>4651.8</v>
      </c>
      <c r="W88" s="45">
        <f t="shared" si="30"/>
        <v>4656</v>
      </c>
      <c r="X88" s="44">
        <f t="shared" si="31"/>
        <v>42.0168404170008</v>
      </c>
      <c r="Y88" s="46">
        <f t="shared" si="32"/>
        <v>122685600</v>
      </c>
      <c r="Z88" s="44">
        <f t="shared" si="33"/>
        <v>187550516.666665</v>
      </c>
      <c r="AA88" s="44">
        <f t="shared" si="34"/>
        <v>179443500</v>
      </c>
      <c r="AB88" s="44">
        <f t="shared" si="35"/>
        <v>197150700</v>
      </c>
      <c r="AC88" s="44">
        <f t="shared" si="36"/>
        <v>0</v>
      </c>
      <c r="AD88" s="44">
        <f t="shared" si="37"/>
        <v>332879550</v>
      </c>
      <c r="AE88" s="44">
        <f>IFERROR(VLOOKUP(C88,#REF!,5,0),0)</f>
        <v>0</v>
      </c>
      <c r="AF88" s="44">
        <f t="shared" si="38"/>
        <v>0</v>
      </c>
      <c r="AG88" s="44">
        <f t="shared" si="39"/>
        <v>0</v>
      </c>
      <c r="AH88" s="44">
        <f t="shared" si="40"/>
        <v>0</v>
      </c>
      <c r="AI88" s="44">
        <f t="shared" si="41"/>
        <v>0</v>
      </c>
      <c r="AJ88" s="44">
        <f t="shared" si="42"/>
        <v>0</v>
      </c>
      <c r="AK88" s="44">
        <f t="shared" si="43"/>
        <v>0</v>
      </c>
      <c r="AL88" s="43" t="s">
        <v>38</v>
      </c>
      <c r="AM88" s="47">
        <f t="shared" si="44"/>
        <v>2712</v>
      </c>
      <c r="AN88" s="43">
        <v>408</v>
      </c>
      <c r="AO88" s="43">
        <v>1104</v>
      </c>
      <c r="AP88" s="48">
        <v>1824</v>
      </c>
      <c r="AQ88" s="3">
        <f t="shared" si="46"/>
        <v>408</v>
      </c>
      <c r="AR88" s="1">
        <f t="shared" si="45"/>
        <v>4248</v>
      </c>
    </row>
    <row r="89" spans="1:44">
      <c r="A89" s="42" t="e">
        <f t="shared" si="26"/>
        <v>#REF!</v>
      </c>
      <c r="B89" s="43" t="s">
        <v>26</v>
      </c>
      <c r="C89" s="43" t="s">
        <v>258</v>
      </c>
      <c r="D89" s="43" t="s">
        <v>259</v>
      </c>
      <c r="E89" s="43" t="s">
        <v>3</v>
      </c>
      <c r="F89" s="44">
        <v>17170</v>
      </c>
      <c r="G89" s="44">
        <v>22886.6666666667</v>
      </c>
      <c r="H89" s="44">
        <v>28016</v>
      </c>
      <c r="I89" s="44">
        <v>25746.3333333333</v>
      </c>
      <c r="J89" s="44">
        <v>46046</v>
      </c>
      <c r="K89" s="44">
        <v>3360</v>
      </c>
      <c r="L89" s="44">
        <v>624</v>
      </c>
      <c r="M89" s="44">
        <v>3984</v>
      </c>
      <c r="N89" s="44">
        <v>0</v>
      </c>
      <c r="O89" s="44">
        <v>5184</v>
      </c>
      <c r="P89" s="44">
        <v>48</v>
      </c>
      <c r="Q89" s="44">
        <v>42</v>
      </c>
      <c r="R89" s="44">
        <v>53390</v>
      </c>
      <c r="S89" s="44">
        <v>62.2108002434004</v>
      </c>
      <c r="T89" s="44">
        <f t="shared" si="28"/>
        <v>10670.8666666667</v>
      </c>
      <c r="U89" s="44">
        <f t="shared" si="29"/>
        <v>1824</v>
      </c>
      <c r="V89" s="44">
        <f t="shared" si="47"/>
        <v>10670.8666666667</v>
      </c>
      <c r="W89" s="45">
        <f t="shared" si="30"/>
        <v>10656</v>
      </c>
      <c r="X89" s="44">
        <f t="shared" si="31"/>
        <v>41.9826771449656</v>
      </c>
      <c r="Y89" s="46">
        <f t="shared" si="32"/>
        <v>182963520</v>
      </c>
      <c r="Z89" s="44">
        <f t="shared" si="33"/>
        <v>392964066.666667</v>
      </c>
      <c r="AA89" s="44">
        <f t="shared" si="34"/>
        <v>481034720</v>
      </c>
      <c r="AB89" s="44">
        <f t="shared" si="35"/>
        <v>442064543.333333</v>
      </c>
      <c r="AC89" s="44">
        <f t="shared" si="36"/>
        <v>0</v>
      </c>
      <c r="AD89" s="44">
        <f t="shared" si="37"/>
        <v>916706300</v>
      </c>
      <c r="AE89" s="44">
        <f>IFERROR(VLOOKUP(C89,#REF!,5,0),0)</f>
        <v>0</v>
      </c>
      <c r="AF89" s="44">
        <f t="shared" si="38"/>
        <v>0</v>
      </c>
      <c r="AG89" s="44">
        <f t="shared" si="39"/>
        <v>0</v>
      </c>
      <c r="AH89" s="44">
        <f t="shared" si="40"/>
        <v>0</v>
      </c>
      <c r="AI89" s="44">
        <f t="shared" si="41"/>
        <v>0</v>
      </c>
      <c r="AJ89" s="44">
        <f t="shared" si="42"/>
        <v>0</v>
      </c>
      <c r="AK89" s="44">
        <f t="shared" si="43"/>
        <v>0</v>
      </c>
      <c r="AL89" s="43" t="s">
        <v>38</v>
      </c>
      <c r="AM89" s="47">
        <f t="shared" si="44"/>
        <v>8832</v>
      </c>
      <c r="AN89" s="43">
        <v>0</v>
      </c>
      <c r="AO89" s="43">
        <v>288</v>
      </c>
      <c r="AP89" s="48">
        <v>1440</v>
      </c>
      <c r="AQ89" s="3">
        <f t="shared" si="46"/>
        <v>0</v>
      </c>
      <c r="AR89" s="1">
        <f t="shared" si="45"/>
        <v>10656</v>
      </c>
    </row>
    <row r="90" spans="1:44">
      <c r="A90" s="42" t="e">
        <f t="shared" si="26"/>
        <v>#REF!</v>
      </c>
      <c r="B90" s="43" t="s">
        <v>26</v>
      </c>
      <c r="C90" s="43" t="s">
        <v>260</v>
      </c>
      <c r="D90" s="43" t="s">
        <v>261</v>
      </c>
      <c r="E90" s="43" t="s">
        <v>4</v>
      </c>
      <c r="F90" s="44">
        <v>48875</v>
      </c>
      <c r="G90" s="44">
        <v>2436.66666666668</v>
      </c>
      <c r="H90" s="44">
        <v>2542</v>
      </c>
      <c r="I90" s="44">
        <v>2565.33333333333</v>
      </c>
      <c r="J90" s="44">
        <v>4420</v>
      </c>
      <c r="K90" s="44">
        <v>612</v>
      </c>
      <c r="L90" s="44">
        <v>204</v>
      </c>
      <c r="M90" s="44">
        <v>12</v>
      </c>
      <c r="N90" s="44">
        <v>0</v>
      </c>
      <c r="O90" s="44">
        <v>660</v>
      </c>
      <c r="P90" s="44">
        <v>12</v>
      </c>
      <c r="Q90" s="44">
        <v>42</v>
      </c>
      <c r="R90" s="44">
        <v>5044</v>
      </c>
      <c r="S90" s="44">
        <v>58.9864864864865</v>
      </c>
      <c r="T90" s="44">
        <f t="shared" si="28"/>
        <v>1089.46666666667</v>
      </c>
      <c r="U90" s="44">
        <f t="shared" si="29"/>
        <v>852</v>
      </c>
      <c r="V90" s="44">
        <f t="shared" si="47"/>
        <v>1089.46666666667</v>
      </c>
      <c r="W90" s="45">
        <f t="shared" si="30"/>
        <v>1092</v>
      </c>
      <c r="X90" s="44">
        <f t="shared" si="31"/>
        <v>42.0296257796258</v>
      </c>
      <c r="Y90" s="46">
        <f t="shared" si="32"/>
        <v>53371500</v>
      </c>
      <c r="Z90" s="44">
        <f t="shared" si="33"/>
        <v>119092083.333334</v>
      </c>
      <c r="AA90" s="44">
        <f t="shared" si="34"/>
        <v>124240250</v>
      </c>
      <c r="AB90" s="44">
        <f t="shared" si="35"/>
        <v>125380666.666667</v>
      </c>
      <c r="AC90" s="44">
        <f t="shared" si="36"/>
        <v>0</v>
      </c>
      <c r="AD90" s="44">
        <f t="shared" si="37"/>
        <v>246525500</v>
      </c>
      <c r="AE90" s="44">
        <f>IFERROR(VLOOKUP(C90,#REF!,5,0),0)</f>
        <v>0</v>
      </c>
      <c r="AF90" s="44">
        <f t="shared" si="38"/>
        <v>0</v>
      </c>
      <c r="AG90" s="44">
        <f t="shared" si="39"/>
        <v>0</v>
      </c>
      <c r="AH90" s="44">
        <f t="shared" si="40"/>
        <v>0</v>
      </c>
      <c r="AI90" s="44">
        <f t="shared" si="41"/>
        <v>0</v>
      </c>
      <c r="AJ90" s="44">
        <f t="shared" si="42"/>
        <v>0</v>
      </c>
      <c r="AK90" s="44">
        <f t="shared" si="43"/>
        <v>0</v>
      </c>
      <c r="AL90" s="43" t="s">
        <v>38</v>
      </c>
      <c r="AM90" s="47">
        <f t="shared" si="44"/>
        <v>240</v>
      </c>
      <c r="AN90" s="43">
        <v>372</v>
      </c>
      <c r="AO90" s="43">
        <v>540</v>
      </c>
      <c r="AP90" s="48">
        <v>684</v>
      </c>
      <c r="AQ90" s="3">
        <f t="shared" si="46"/>
        <v>372</v>
      </c>
      <c r="AR90" s="1">
        <f t="shared" si="45"/>
        <v>720</v>
      </c>
    </row>
    <row r="91" spans="1:44">
      <c r="A91" s="42" t="e">
        <f t="shared" si="26"/>
        <v>#REF!</v>
      </c>
      <c r="B91" s="43" t="s">
        <v>26</v>
      </c>
      <c r="C91" s="43" t="s">
        <v>262</v>
      </c>
      <c r="D91" s="43" t="s">
        <v>263</v>
      </c>
      <c r="E91" s="43" t="s">
        <v>3</v>
      </c>
      <c r="F91" s="44">
        <v>40630</v>
      </c>
      <c r="G91" s="44">
        <v>10099.6666666667</v>
      </c>
      <c r="H91" s="44">
        <v>12475</v>
      </c>
      <c r="I91" s="44">
        <v>11531.6666666667</v>
      </c>
      <c r="J91" s="44">
        <v>17080</v>
      </c>
      <c r="K91" s="44">
        <v>3012</v>
      </c>
      <c r="L91" s="44">
        <v>864</v>
      </c>
      <c r="M91" s="44">
        <v>972</v>
      </c>
      <c r="N91" s="44">
        <v>0</v>
      </c>
      <c r="O91" s="44">
        <v>2688</v>
      </c>
      <c r="P91" s="44">
        <v>12</v>
      </c>
      <c r="Q91" s="44">
        <v>42</v>
      </c>
      <c r="R91" s="44">
        <v>21064</v>
      </c>
      <c r="S91" s="44">
        <v>54.7986703280821</v>
      </c>
      <c r="T91" s="44">
        <f t="shared" si="28"/>
        <v>7555.33333333333</v>
      </c>
      <c r="U91" s="44">
        <f t="shared" si="29"/>
        <v>2580</v>
      </c>
      <c r="V91" s="44">
        <f t="shared" si="47"/>
        <v>7555.33333333333</v>
      </c>
      <c r="W91" s="45">
        <f t="shared" si="30"/>
        <v>7560</v>
      </c>
      <c r="X91" s="44">
        <f t="shared" si="31"/>
        <v>42.0121404827287</v>
      </c>
      <c r="Y91" s="46">
        <f t="shared" si="32"/>
        <v>307162800</v>
      </c>
      <c r="Z91" s="44">
        <f t="shared" si="33"/>
        <v>410349456.666668</v>
      </c>
      <c r="AA91" s="44">
        <f t="shared" si="34"/>
        <v>506859250</v>
      </c>
      <c r="AB91" s="44">
        <f t="shared" si="35"/>
        <v>468531616.666667</v>
      </c>
      <c r="AC91" s="44">
        <f t="shared" si="36"/>
        <v>0</v>
      </c>
      <c r="AD91" s="44">
        <f t="shared" si="37"/>
        <v>855830320</v>
      </c>
      <c r="AE91" s="44">
        <f>IFERROR(VLOOKUP(C91,#REF!,5,0),0)</f>
        <v>0</v>
      </c>
      <c r="AF91" s="44">
        <f t="shared" si="38"/>
        <v>0</v>
      </c>
      <c r="AG91" s="44">
        <f t="shared" si="39"/>
        <v>0</v>
      </c>
      <c r="AH91" s="44">
        <f t="shared" si="40"/>
        <v>0</v>
      </c>
      <c r="AI91" s="44">
        <f t="shared" si="41"/>
        <v>0</v>
      </c>
      <c r="AJ91" s="44">
        <f t="shared" si="42"/>
        <v>0</v>
      </c>
      <c r="AK91" s="44">
        <f t="shared" si="43"/>
        <v>0</v>
      </c>
      <c r="AL91" s="43" t="s">
        <v>38</v>
      </c>
      <c r="AM91" s="47">
        <f t="shared" si="44"/>
        <v>4980</v>
      </c>
      <c r="AN91" s="43">
        <v>456</v>
      </c>
      <c r="AO91" s="43">
        <v>1140</v>
      </c>
      <c r="AP91" s="48">
        <v>1812</v>
      </c>
      <c r="AQ91" s="3">
        <f t="shared" si="46"/>
        <v>456</v>
      </c>
      <c r="AR91" s="1">
        <f t="shared" si="45"/>
        <v>7104</v>
      </c>
    </row>
    <row r="92" spans="1:44">
      <c r="A92" s="42" t="e">
        <f t="shared" si="26"/>
        <v>#REF!</v>
      </c>
      <c r="B92" s="43" t="s">
        <v>26</v>
      </c>
      <c r="C92" s="43" t="s">
        <v>264</v>
      </c>
      <c r="D92" s="43" t="s">
        <v>265</v>
      </c>
      <c r="E92" s="43" t="s">
        <v>3</v>
      </c>
      <c r="F92" s="44">
        <v>7565</v>
      </c>
      <c r="G92" s="44">
        <v>55387.0000000001</v>
      </c>
      <c r="H92" s="44">
        <v>58298</v>
      </c>
      <c r="I92" s="44">
        <v>49517.6666666667</v>
      </c>
      <c r="J92" s="44">
        <v>103520</v>
      </c>
      <c r="K92" s="44">
        <v>11640</v>
      </c>
      <c r="L92" s="44">
        <v>2280</v>
      </c>
      <c r="M92" s="44">
        <v>20280</v>
      </c>
      <c r="N92" s="44">
        <v>0</v>
      </c>
      <c r="O92" s="44">
        <v>9408</v>
      </c>
      <c r="P92" s="44">
        <v>24</v>
      </c>
      <c r="Q92" s="44">
        <v>42</v>
      </c>
      <c r="R92" s="44">
        <v>135440</v>
      </c>
      <c r="S92" s="44">
        <v>82.0555626611378</v>
      </c>
      <c r="T92" s="44">
        <f t="shared" si="28"/>
        <v>0</v>
      </c>
      <c r="U92" s="44">
        <f t="shared" si="29"/>
        <v>0</v>
      </c>
      <c r="V92" s="44">
        <f t="shared" si="47"/>
        <v>0</v>
      </c>
      <c r="W92" s="45">
        <f t="shared" si="30"/>
        <v>0</v>
      </c>
      <c r="X92" s="44">
        <f t="shared" si="31"/>
        <v>46.7360470673766</v>
      </c>
      <c r="Y92" s="46">
        <f t="shared" si="32"/>
        <v>0</v>
      </c>
      <c r="Z92" s="44">
        <f t="shared" si="33"/>
        <v>419002655.000001</v>
      </c>
      <c r="AA92" s="44">
        <f t="shared" si="34"/>
        <v>441024370</v>
      </c>
      <c r="AB92" s="44">
        <f t="shared" si="35"/>
        <v>374601148.333333</v>
      </c>
      <c r="AC92" s="44">
        <f t="shared" si="36"/>
        <v>0</v>
      </c>
      <c r="AD92" s="44">
        <f t="shared" si="37"/>
        <v>1024603600</v>
      </c>
      <c r="AE92" s="44">
        <f>IFERROR(VLOOKUP(C92,#REF!,5,0),0)</f>
        <v>0</v>
      </c>
      <c r="AF92" s="44">
        <f t="shared" si="38"/>
        <v>0</v>
      </c>
      <c r="AG92" s="44">
        <f t="shared" si="39"/>
        <v>0</v>
      </c>
      <c r="AH92" s="44">
        <f t="shared" si="40"/>
        <v>0</v>
      </c>
      <c r="AI92" s="44">
        <f t="shared" si="41"/>
        <v>0</v>
      </c>
      <c r="AJ92" s="44">
        <f t="shared" si="42"/>
        <v>0</v>
      </c>
      <c r="AK92" s="44">
        <f t="shared" si="43"/>
        <v>0</v>
      </c>
      <c r="AL92" s="43" t="s">
        <v>38</v>
      </c>
      <c r="AM92" s="47">
        <f t="shared" si="44"/>
        <v>0</v>
      </c>
      <c r="AN92" s="43">
        <v>0</v>
      </c>
      <c r="AO92" s="43">
        <v>0</v>
      </c>
      <c r="AP92" s="48">
        <v>0</v>
      </c>
      <c r="AQ92" s="3">
        <f t="shared" si="46"/>
        <v>0</v>
      </c>
      <c r="AR92" s="1">
        <f t="shared" si="45"/>
        <v>0</v>
      </c>
    </row>
    <row r="93" spans="1:44">
      <c r="A93" s="42" t="e">
        <f t="shared" si="26"/>
        <v>#REF!</v>
      </c>
      <c r="B93" s="43" t="s">
        <v>26</v>
      </c>
      <c r="C93" s="43" t="s">
        <v>266</v>
      </c>
      <c r="D93" s="43" t="s">
        <v>267</v>
      </c>
      <c r="E93" s="43" t="s">
        <v>3</v>
      </c>
      <c r="F93" s="44">
        <v>7565</v>
      </c>
      <c r="G93" s="44">
        <v>43318.0000000001</v>
      </c>
      <c r="H93" s="44">
        <v>45609</v>
      </c>
      <c r="I93" s="44">
        <v>39099.3333333333</v>
      </c>
      <c r="J93" s="44">
        <v>79283</v>
      </c>
      <c r="K93" s="44">
        <v>3384</v>
      </c>
      <c r="L93" s="44">
        <v>3768</v>
      </c>
      <c r="M93" s="44">
        <v>25560</v>
      </c>
      <c r="N93" s="44">
        <v>0</v>
      </c>
      <c r="O93" s="44">
        <v>12360</v>
      </c>
      <c r="P93" s="44">
        <v>24</v>
      </c>
      <c r="Q93" s="44">
        <v>42</v>
      </c>
      <c r="R93" s="44">
        <v>108227</v>
      </c>
      <c r="S93" s="44">
        <v>83.0400347832018</v>
      </c>
      <c r="T93" s="44">
        <f t="shared" si="28"/>
        <v>0</v>
      </c>
      <c r="U93" s="44">
        <f t="shared" si="29"/>
        <v>0</v>
      </c>
      <c r="V93" s="44">
        <f t="shared" si="47"/>
        <v>0</v>
      </c>
      <c r="W93" s="45">
        <f t="shared" si="30"/>
        <v>0</v>
      </c>
      <c r="X93" s="44">
        <f t="shared" si="31"/>
        <v>48.0453204658221</v>
      </c>
      <c r="Y93" s="46">
        <f t="shared" si="32"/>
        <v>0</v>
      </c>
      <c r="Z93" s="44">
        <f t="shared" si="33"/>
        <v>327700670.000001</v>
      </c>
      <c r="AA93" s="44">
        <f t="shared" si="34"/>
        <v>345032085</v>
      </c>
      <c r="AB93" s="44">
        <f t="shared" si="35"/>
        <v>295786456.666667</v>
      </c>
      <c r="AC93" s="44">
        <f t="shared" si="36"/>
        <v>0</v>
      </c>
      <c r="AD93" s="44">
        <f t="shared" si="37"/>
        <v>818737255</v>
      </c>
      <c r="AE93" s="44">
        <f>IFERROR(VLOOKUP(C93,#REF!,5,0),0)</f>
        <v>0</v>
      </c>
      <c r="AF93" s="44">
        <f t="shared" si="38"/>
        <v>0</v>
      </c>
      <c r="AG93" s="44">
        <f t="shared" si="39"/>
        <v>0</v>
      </c>
      <c r="AH93" s="44">
        <f t="shared" si="40"/>
        <v>0</v>
      </c>
      <c r="AI93" s="44">
        <f t="shared" si="41"/>
        <v>0</v>
      </c>
      <c r="AJ93" s="44">
        <f t="shared" si="42"/>
        <v>0</v>
      </c>
      <c r="AK93" s="44">
        <f t="shared" si="43"/>
        <v>0</v>
      </c>
      <c r="AL93" s="43" t="s">
        <v>38</v>
      </c>
      <c r="AM93" s="47">
        <f t="shared" si="44"/>
        <v>0</v>
      </c>
      <c r="AN93" s="43">
        <v>0</v>
      </c>
      <c r="AO93" s="43">
        <v>0</v>
      </c>
      <c r="AP93" s="48">
        <v>0</v>
      </c>
      <c r="AQ93" s="3">
        <f t="shared" si="46"/>
        <v>0</v>
      </c>
      <c r="AR93" s="1">
        <f t="shared" si="45"/>
        <v>0</v>
      </c>
    </row>
    <row r="94" spans="1:44">
      <c r="A94" s="42" t="e">
        <f t="shared" si="26"/>
        <v>#REF!</v>
      </c>
      <c r="B94" s="43" t="s">
        <v>26</v>
      </c>
      <c r="C94" s="43" t="s">
        <v>268</v>
      </c>
      <c r="D94" s="43" t="s">
        <v>269</v>
      </c>
      <c r="E94" s="43" t="s">
        <v>3</v>
      </c>
      <c r="F94" s="44">
        <v>17170</v>
      </c>
      <c r="G94" s="44">
        <v>396410.000000001</v>
      </c>
      <c r="H94" s="44">
        <v>390281</v>
      </c>
      <c r="I94" s="44">
        <v>409639.333333333</v>
      </c>
      <c r="J94" s="44">
        <v>362577</v>
      </c>
      <c r="K94" s="44">
        <v>81120</v>
      </c>
      <c r="L94" s="44">
        <v>4824</v>
      </c>
      <c r="M94" s="44">
        <v>21312</v>
      </c>
      <c r="N94" s="44">
        <v>0</v>
      </c>
      <c r="O94" s="44">
        <v>311328</v>
      </c>
      <c r="P94" s="44">
        <v>48</v>
      </c>
      <c r="Q94" s="44">
        <v>42</v>
      </c>
      <c r="R94" s="44">
        <v>465009</v>
      </c>
      <c r="S94" s="44">
        <v>34.0550061110668</v>
      </c>
      <c r="T94" s="44">
        <f t="shared" si="28"/>
        <v>498767.066666667</v>
      </c>
      <c r="U94" s="44">
        <f t="shared" si="29"/>
        <v>294840</v>
      </c>
      <c r="V94" s="44">
        <f t="shared" si="47"/>
        <v>498767.066666667</v>
      </c>
      <c r="W94" s="45">
        <f t="shared" si="30"/>
        <v>498768</v>
      </c>
      <c r="X94" s="44">
        <f t="shared" si="31"/>
        <v>42.0000683528112</v>
      </c>
      <c r="Y94" s="46">
        <f t="shared" si="32"/>
        <v>8563846560</v>
      </c>
      <c r="Z94" s="44">
        <f t="shared" si="33"/>
        <v>6806359700.00002</v>
      </c>
      <c r="AA94" s="44">
        <f t="shared" si="34"/>
        <v>6701124770</v>
      </c>
      <c r="AB94" s="44">
        <f t="shared" si="35"/>
        <v>7033507353.33333</v>
      </c>
      <c r="AC94" s="44">
        <f t="shared" si="36"/>
        <v>0</v>
      </c>
      <c r="AD94" s="44">
        <f t="shared" si="37"/>
        <v>7984204530</v>
      </c>
      <c r="AE94" s="44">
        <f>IFERROR(VLOOKUP(C94,#REF!,5,0),0)</f>
        <v>0</v>
      </c>
      <c r="AF94" s="44">
        <f t="shared" si="38"/>
        <v>0</v>
      </c>
      <c r="AG94" s="44">
        <f t="shared" si="39"/>
        <v>0</v>
      </c>
      <c r="AH94" s="44">
        <f t="shared" si="40"/>
        <v>0</v>
      </c>
      <c r="AI94" s="44">
        <f t="shared" si="41"/>
        <v>0</v>
      </c>
      <c r="AJ94" s="44">
        <f t="shared" si="42"/>
        <v>0</v>
      </c>
      <c r="AK94" s="44">
        <f t="shared" si="43"/>
        <v>0</v>
      </c>
      <c r="AL94" s="43" t="s">
        <v>38</v>
      </c>
      <c r="AM94" s="47">
        <f t="shared" si="44"/>
        <v>203928</v>
      </c>
      <c r="AN94" s="43">
        <v>135168</v>
      </c>
      <c r="AO94" s="43">
        <v>212880</v>
      </c>
      <c r="AP94" s="48">
        <v>290784</v>
      </c>
      <c r="AQ94" s="3">
        <f t="shared" si="46"/>
        <v>135168</v>
      </c>
      <c r="AR94" s="1">
        <f t="shared" si="45"/>
        <v>363600</v>
      </c>
    </row>
    <row r="95" spans="1:44">
      <c r="A95" s="42" t="e">
        <f t="shared" si="26"/>
        <v>#REF!</v>
      </c>
      <c r="B95" s="43" t="s">
        <v>26</v>
      </c>
      <c r="C95" s="43" t="s">
        <v>270</v>
      </c>
      <c r="D95" s="43" t="s">
        <v>271</v>
      </c>
      <c r="E95" s="43" t="s">
        <v>3</v>
      </c>
      <c r="F95" s="44">
        <v>26350</v>
      </c>
      <c r="G95" s="44">
        <v>121166</v>
      </c>
      <c r="H95" s="44">
        <v>122589</v>
      </c>
      <c r="I95" s="44">
        <v>128525.333333333</v>
      </c>
      <c r="J95" s="44">
        <v>121791</v>
      </c>
      <c r="K95" s="44">
        <v>27888</v>
      </c>
      <c r="L95" s="44">
        <v>12024</v>
      </c>
      <c r="M95" s="44">
        <v>1704</v>
      </c>
      <c r="N95" s="44">
        <v>0</v>
      </c>
      <c r="O95" s="44">
        <v>80544</v>
      </c>
      <c r="P95" s="44">
        <v>24</v>
      </c>
      <c r="Q95" s="44">
        <v>42</v>
      </c>
      <c r="R95" s="44">
        <v>151383</v>
      </c>
      <c r="S95" s="44">
        <v>35.3353683839243</v>
      </c>
      <c r="T95" s="44">
        <f t="shared" si="28"/>
        <v>151141.466666667</v>
      </c>
      <c r="U95" s="44">
        <f t="shared" si="29"/>
        <v>90864</v>
      </c>
      <c r="V95" s="44">
        <f t="shared" si="47"/>
        <v>151141.466666667</v>
      </c>
      <c r="W95" s="45">
        <f t="shared" si="30"/>
        <v>151152</v>
      </c>
      <c r="X95" s="44">
        <f t="shared" si="31"/>
        <v>42.0024586592527</v>
      </c>
      <c r="Y95" s="46">
        <f t="shared" si="32"/>
        <v>3982855200</v>
      </c>
      <c r="Z95" s="44">
        <f t="shared" si="33"/>
        <v>3192724100</v>
      </c>
      <c r="AA95" s="44">
        <f t="shared" si="34"/>
        <v>3230220150</v>
      </c>
      <c r="AB95" s="44">
        <f t="shared" si="35"/>
        <v>3386642533.33333</v>
      </c>
      <c r="AC95" s="44">
        <f t="shared" si="36"/>
        <v>0</v>
      </c>
      <c r="AD95" s="44">
        <f t="shared" si="37"/>
        <v>3988942050</v>
      </c>
      <c r="AE95" s="44">
        <f>IFERROR(VLOOKUP(C95,#REF!,5,0),0)</f>
        <v>0</v>
      </c>
      <c r="AF95" s="44">
        <f t="shared" si="38"/>
        <v>0</v>
      </c>
      <c r="AG95" s="44">
        <f t="shared" si="39"/>
        <v>0</v>
      </c>
      <c r="AH95" s="44">
        <f t="shared" si="40"/>
        <v>0</v>
      </c>
      <c r="AI95" s="44">
        <f t="shared" si="41"/>
        <v>0</v>
      </c>
      <c r="AJ95" s="44">
        <f t="shared" si="42"/>
        <v>0</v>
      </c>
      <c r="AK95" s="44">
        <f t="shared" si="43"/>
        <v>0</v>
      </c>
      <c r="AL95" s="43" t="s">
        <v>38</v>
      </c>
      <c r="AM95" s="47">
        <f t="shared" si="44"/>
        <v>60288</v>
      </c>
      <c r="AN95" s="43">
        <v>38880</v>
      </c>
      <c r="AO95" s="43">
        <v>58968</v>
      </c>
      <c r="AP95" s="48">
        <v>79104</v>
      </c>
      <c r="AQ95" s="3">
        <f t="shared" si="46"/>
        <v>38880</v>
      </c>
      <c r="AR95" s="1">
        <f t="shared" si="45"/>
        <v>112272</v>
      </c>
    </row>
    <row r="96" spans="1:44">
      <c r="A96" s="42" t="e">
        <f t="shared" si="26"/>
        <v>#REF!</v>
      </c>
      <c r="B96" s="43" t="s">
        <v>26</v>
      </c>
      <c r="C96" s="43" t="s">
        <v>272</v>
      </c>
      <c r="D96" s="43" t="s">
        <v>273</v>
      </c>
      <c r="E96" s="43" t="s">
        <v>3</v>
      </c>
      <c r="F96" s="44">
        <v>48875</v>
      </c>
      <c r="G96" s="44">
        <v>83892.9999999996</v>
      </c>
      <c r="H96" s="44">
        <v>90874</v>
      </c>
      <c r="I96" s="44">
        <v>88730.6666666667</v>
      </c>
      <c r="J96" s="44">
        <v>106268</v>
      </c>
      <c r="K96" s="44">
        <v>29532</v>
      </c>
      <c r="L96" s="44">
        <v>3276</v>
      </c>
      <c r="M96" s="44">
        <v>8184</v>
      </c>
      <c r="N96" s="44">
        <v>0</v>
      </c>
      <c r="O96" s="44">
        <v>37728</v>
      </c>
      <c r="P96" s="44">
        <v>12</v>
      </c>
      <c r="Q96" s="44">
        <v>42</v>
      </c>
      <c r="R96" s="44">
        <v>143984</v>
      </c>
      <c r="S96" s="44">
        <v>48.6812526296808</v>
      </c>
      <c r="T96" s="44">
        <f t="shared" si="28"/>
        <v>71112.9333333333</v>
      </c>
      <c r="U96" s="44">
        <f t="shared" si="29"/>
        <v>32820</v>
      </c>
      <c r="V96" s="44">
        <f t="shared" si="47"/>
        <v>71112.9333333333</v>
      </c>
      <c r="W96" s="45">
        <f t="shared" si="30"/>
        <v>71112</v>
      </c>
      <c r="X96" s="44">
        <f t="shared" si="31"/>
        <v>41.9996844383002</v>
      </c>
      <c r="Y96" s="46">
        <f t="shared" si="32"/>
        <v>3475599000</v>
      </c>
      <c r="Z96" s="44">
        <f t="shared" si="33"/>
        <v>4100270374.99998</v>
      </c>
      <c r="AA96" s="44">
        <f t="shared" si="34"/>
        <v>4441466750</v>
      </c>
      <c r="AB96" s="44">
        <f t="shared" si="35"/>
        <v>4336711333.33333</v>
      </c>
      <c r="AC96" s="44">
        <f t="shared" si="36"/>
        <v>0</v>
      </c>
      <c r="AD96" s="44">
        <f t="shared" si="37"/>
        <v>7037218000</v>
      </c>
      <c r="AE96" s="44">
        <f>IFERROR(VLOOKUP(C96,#REF!,5,0),0)</f>
        <v>0</v>
      </c>
      <c r="AF96" s="44">
        <f t="shared" si="38"/>
        <v>0</v>
      </c>
      <c r="AG96" s="44">
        <f t="shared" si="39"/>
        <v>0</v>
      </c>
      <c r="AH96" s="44">
        <f t="shared" si="40"/>
        <v>0</v>
      </c>
      <c r="AI96" s="44">
        <f t="shared" si="41"/>
        <v>0</v>
      </c>
      <c r="AJ96" s="44">
        <f t="shared" si="42"/>
        <v>0</v>
      </c>
      <c r="AK96" s="44">
        <f t="shared" si="43"/>
        <v>0</v>
      </c>
      <c r="AL96" s="43" t="s">
        <v>38</v>
      </c>
      <c r="AM96" s="47">
        <f t="shared" si="44"/>
        <v>38292</v>
      </c>
      <c r="AN96" s="43">
        <v>10812</v>
      </c>
      <c r="AO96" s="43">
        <v>20244</v>
      </c>
      <c r="AP96" s="48">
        <v>29688</v>
      </c>
      <c r="AQ96" s="3">
        <f t="shared" si="46"/>
        <v>10812</v>
      </c>
      <c r="AR96" s="1">
        <f t="shared" si="45"/>
        <v>60300</v>
      </c>
    </row>
    <row r="97" spans="1:44">
      <c r="A97" s="42" t="e">
        <f t="shared" si="26"/>
        <v>#REF!</v>
      </c>
      <c r="B97" s="43" t="s">
        <v>26</v>
      </c>
      <c r="C97" s="43" t="s">
        <v>274</v>
      </c>
      <c r="D97" s="43" t="s">
        <v>275</v>
      </c>
      <c r="E97" s="43" t="s">
        <v>3</v>
      </c>
      <c r="F97" s="44">
        <v>19465</v>
      </c>
      <c r="G97" s="44">
        <v>40124.6666666668</v>
      </c>
      <c r="H97" s="44">
        <v>38017</v>
      </c>
      <c r="I97" s="44">
        <v>41141.3333333333</v>
      </c>
      <c r="J97" s="44">
        <v>39917</v>
      </c>
      <c r="K97" s="44">
        <v>10656</v>
      </c>
      <c r="L97" s="44">
        <v>2688</v>
      </c>
      <c r="M97" s="44">
        <v>3168</v>
      </c>
      <c r="N97" s="44">
        <v>0</v>
      </c>
      <c r="O97" s="44">
        <v>22128</v>
      </c>
      <c r="P97" s="44">
        <v>48</v>
      </c>
      <c r="Q97" s="44">
        <v>42</v>
      </c>
      <c r="R97" s="44">
        <v>53741</v>
      </c>
      <c r="S97" s="44">
        <v>39.1875972258232</v>
      </c>
      <c r="T97" s="44">
        <f t="shared" si="28"/>
        <v>41873.8666666667</v>
      </c>
      <c r="U97" s="44">
        <f t="shared" si="29"/>
        <v>21648</v>
      </c>
      <c r="V97" s="44">
        <f t="shared" si="47"/>
        <v>41873.8666666667</v>
      </c>
      <c r="W97" s="45">
        <f t="shared" si="30"/>
        <v>41856</v>
      </c>
      <c r="X97" s="44">
        <f t="shared" si="31"/>
        <v>41.986971739694</v>
      </c>
      <c r="Y97" s="46">
        <f t="shared" si="32"/>
        <v>814727040</v>
      </c>
      <c r="Z97" s="44">
        <f t="shared" si="33"/>
        <v>781026636.666669</v>
      </c>
      <c r="AA97" s="44">
        <f t="shared" si="34"/>
        <v>740000905</v>
      </c>
      <c r="AB97" s="44">
        <f t="shared" si="35"/>
        <v>800816053.333333</v>
      </c>
      <c r="AC97" s="44">
        <f t="shared" si="36"/>
        <v>0</v>
      </c>
      <c r="AD97" s="44">
        <f t="shared" si="37"/>
        <v>1046068565</v>
      </c>
      <c r="AE97" s="44">
        <f>IFERROR(VLOOKUP(C97,#REF!,5,0),0)</f>
        <v>0</v>
      </c>
      <c r="AF97" s="44">
        <f t="shared" si="38"/>
        <v>0</v>
      </c>
      <c r="AG97" s="44">
        <f t="shared" si="39"/>
        <v>0</v>
      </c>
      <c r="AH97" s="44">
        <f t="shared" si="40"/>
        <v>0</v>
      </c>
      <c r="AI97" s="44">
        <f t="shared" si="41"/>
        <v>0</v>
      </c>
      <c r="AJ97" s="44">
        <f t="shared" si="42"/>
        <v>0</v>
      </c>
      <c r="AK97" s="44">
        <f t="shared" si="43"/>
        <v>0</v>
      </c>
      <c r="AL97" s="43" t="s">
        <v>38</v>
      </c>
      <c r="AM97" s="47">
        <f t="shared" si="44"/>
        <v>20208</v>
      </c>
      <c r="AN97" s="43">
        <v>8352</v>
      </c>
      <c r="AO97" s="43">
        <v>14016</v>
      </c>
      <c r="AP97" s="48">
        <v>19536</v>
      </c>
      <c r="AQ97" s="3">
        <f t="shared" si="46"/>
        <v>8352</v>
      </c>
      <c r="AR97" s="1">
        <f t="shared" si="45"/>
        <v>33504</v>
      </c>
    </row>
    <row r="98" spans="1:44">
      <c r="A98" s="42" t="e">
        <f t="shared" si="26"/>
        <v>#REF!</v>
      </c>
      <c r="B98" s="43" t="s">
        <v>26</v>
      </c>
      <c r="C98" s="43" t="s">
        <v>276</v>
      </c>
      <c r="D98" s="43" t="s">
        <v>277</v>
      </c>
      <c r="E98" s="43" t="s">
        <v>3</v>
      </c>
      <c r="F98" s="44">
        <v>29240</v>
      </c>
      <c r="G98" s="44">
        <v>22054.3333333334</v>
      </c>
      <c r="H98" s="44">
        <v>21086</v>
      </c>
      <c r="I98" s="44">
        <v>22802.6666666667</v>
      </c>
      <c r="J98" s="44">
        <v>26722</v>
      </c>
      <c r="K98" s="44">
        <v>5808</v>
      </c>
      <c r="L98" s="44">
        <v>528</v>
      </c>
      <c r="M98" s="44">
        <v>1584</v>
      </c>
      <c r="N98" s="44">
        <v>0</v>
      </c>
      <c r="O98" s="44">
        <v>9000</v>
      </c>
      <c r="P98" s="44">
        <v>24</v>
      </c>
      <c r="Q98" s="44">
        <v>42</v>
      </c>
      <c r="R98" s="44">
        <v>34114</v>
      </c>
      <c r="S98" s="44">
        <v>44.8815927961642</v>
      </c>
      <c r="T98" s="44">
        <f t="shared" si="28"/>
        <v>18895.7333333333</v>
      </c>
      <c r="U98" s="44">
        <f t="shared" si="29"/>
        <v>7944</v>
      </c>
      <c r="V98" s="44">
        <f t="shared" si="47"/>
        <v>18895.7333333333</v>
      </c>
      <c r="W98" s="45">
        <f t="shared" si="30"/>
        <v>18888</v>
      </c>
      <c r="X98" s="44">
        <f t="shared" si="31"/>
        <v>41.9898257513741</v>
      </c>
      <c r="Y98" s="46">
        <f t="shared" si="32"/>
        <v>552285120</v>
      </c>
      <c r="Z98" s="44">
        <f t="shared" si="33"/>
        <v>644868706.666669</v>
      </c>
      <c r="AA98" s="44">
        <f t="shared" si="34"/>
        <v>616554640</v>
      </c>
      <c r="AB98" s="44">
        <f t="shared" si="35"/>
        <v>666749973.333333</v>
      </c>
      <c r="AC98" s="44">
        <f t="shared" si="36"/>
        <v>0</v>
      </c>
      <c r="AD98" s="44">
        <f t="shared" si="37"/>
        <v>997493360</v>
      </c>
      <c r="AE98" s="44">
        <f>IFERROR(VLOOKUP(C98,#REF!,5,0),0)</f>
        <v>0</v>
      </c>
      <c r="AF98" s="44">
        <f t="shared" si="38"/>
        <v>0</v>
      </c>
      <c r="AG98" s="44">
        <f t="shared" si="39"/>
        <v>0</v>
      </c>
      <c r="AH98" s="44">
        <f t="shared" si="40"/>
        <v>0</v>
      </c>
      <c r="AI98" s="44">
        <f t="shared" si="41"/>
        <v>0</v>
      </c>
      <c r="AJ98" s="44">
        <f t="shared" si="42"/>
        <v>0</v>
      </c>
      <c r="AK98" s="44">
        <f t="shared" si="43"/>
        <v>0</v>
      </c>
      <c r="AL98" s="43" t="s">
        <v>38</v>
      </c>
      <c r="AM98" s="47">
        <f t="shared" si="44"/>
        <v>10944</v>
      </c>
      <c r="AN98" s="43">
        <v>3192</v>
      </c>
      <c r="AO98" s="43">
        <v>5472</v>
      </c>
      <c r="AP98" s="48">
        <v>7656</v>
      </c>
      <c r="AQ98" s="3">
        <f t="shared" si="46"/>
        <v>3192</v>
      </c>
      <c r="AR98" s="1">
        <f t="shared" si="45"/>
        <v>15696</v>
      </c>
    </row>
    <row r="99" spans="1:44">
      <c r="A99" s="42" t="e">
        <f t="shared" si="26"/>
        <v>#REF!</v>
      </c>
      <c r="B99" s="43" t="s">
        <v>26</v>
      </c>
      <c r="C99" s="43" t="s">
        <v>278</v>
      </c>
      <c r="D99" s="43" t="s">
        <v>279</v>
      </c>
      <c r="E99" s="43" t="s">
        <v>3</v>
      </c>
      <c r="F99" s="44">
        <v>51850</v>
      </c>
      <c r="G99" s="44">
        <v>14240.6666666667</v>
      </c>
      <c r="H99" s="44">
        <v>13454</v>
      </c>
      <c r="I99" s="44">
        <v>14119</v>
      </c>
      <c r="J99" s="44">
        <v>14312</v>
      </c>
      <c r="K99" s="44">
        <v>5436</v>
      </c>
      <c r="L99" s="44">
        <v>1286</v>
      </c>
      <c r="M99" s="44">
        <v>2376</v>
      </c>
      <c r="N99" s="44">
        <v>0</v>
      </c>
      <c r="O99" s="44">
        <v>5280</v>
      </c>
      <c r="P99" s="44">
        <v>12</v>
      </c>
      <c r="Q99" s="44">
        <v>42</v>
      </c>
      <c r="R99" s="44">
        <v>22124</v>
      </c>
      <c r="S99" s="44">
        <v>47.0089949713152</v>
      </c>
      <c r="T99" s="44">
        <f t="shared" si="28"/>
        <v>11096.6</v>
      </c>
      <c r="U99" s="44">
        <f t="shared" si="29"/>
        <v>4190</v>
      </c>
      <c r="V99" s="44">
        <f t="shared" si="47"/>
        <v>11096.6</v>
      </c>
      <c r="W99" s="45">
        <f t="shared" si="30"/>
        <v>11100</v>
      </c>
      <c r="X99" s="44">
        <f t="shared" si="31"/>
        <v>42.0072243076705</v>
      </c>
      <c r="Y99" s="46">
        <f t="shared" si="32"/>
        <v>575535000</v>
      </c>
      <c r="Z99" s="44">
        <f t="shared" si="33"/>
        <v>738378566.666669</v>
      </c>
      <c r="AA99" s="44">
        <f t="shared" si="34"/>
        <v>697589900</v>
      </c>
      <c r="AB99" s="44">
        <f t="shared" si="35"/>
        <v>732070150</v>
      </c>
      <c r="AC99" s="44">
        <f t="shared" si="36"/>
        <v>0</v>
      </c>
      <c r="AD99" s="44">
        <f t="shared" si="37"/>
        <v>1147129400</v>
      </c>
      <c r="AE99" s="44">
        <f>IFERROR(VLOOKUP(C99,#REF!,5,0),0)</f>
        <v>0</v>
      </c>
      <c r="AF99" s="44">
        <f t="shared" si="38"/>
        <v>0</v>
      </c>
      <c r="AG99" s="44">
        <f t="shared" si="39"/>
        <v>0</v>
      </c>
      <c r="AH99" s="44">
        <f t="shared" si="40"/>
        <v>0</v>
      </c>
      <c r="AI99" s="44">
        <f t="shared" si="41"/>
        <v>0</v>
      </c>
      <c r="AJ99" s="44">
        <f t="shared" si="42"/>
        <v>0</v>
      </c>
      <c r="AK99" s="44">
        <f t="shared" si="43"/>
        <v>0</v>
      </c>
      <c r="AL99" s="43" t="s">
        <v>38</v>
      </c>
      <c r="AM99" s="47">
        <f t="shared" si="44"/>
        <v>6910</v>
      </c>
      <c r="AN99" s="43">
        <v>408</v>
      </c>
      <c r="AO99" s="43">
        <v>1740</v>
      </c>
      <c r="AP99" s="48">
        <v>3048</v>
      </c>
      <c r="AQ99" s="3">
        <f t="shared" si="46"/>
        <v>408</v>
      </c>
      <c r="AR99" s="1">
        <f t="shared" si="45"/>
        <v>10692</v>
      </c>
    </row>
    <row r="100" spans="1:44">
      <c r="A100" s="42" t="e">
        <f t="shared" si="26"/>
        <v>#REF!</v>
      </c>
      <c r="B100" s="43" t="s">
        <v>26</v>
      </c>
      <c r="C100" s="43" t="s">
        <v>280</v>
      </c>
      <c r="D100" s="43" t="s">
        <v>281</v>
      </c>
      <c r="E100" s="43" t="s">
        <v>3</v>
      </c>
      <c r="F100" s="44">
        <v>17170</v>
      </c>
      <c r="G100" s="44">
        <v>18641.9999999999</v>
      </c>
      <c r="H100" s="44">
        <v>21475</v>
      </c>
      <c r="I100" s="44">
        <v>20022</v>
      </c>
      <c r="J100" s="44">
        <v>37237</v>
      </c>
      <c r="K100" s="44">
        <v>3600</v>
      </c>
      <c r="L100" s="44">
        <v>432</v>
      </c>
      <c r="M100" s="44">
        <v>2328</v>
      </c>
      <c r="N100" s="44">
        <v>0</v>
      </c>
      <c r="O100" s="44">
        <v>2232</v>
      </c>
      <c r="P100" s="44">
        <v>24</v>
      </c>
      <c r="Q100" s="44">
        <v>42</v>
      </c>
      <c r="R100" s="44">
        <v>43165</v>
      </c>
      <c r="S100" s="44">
        <v>64.6763560083908</v>
      </c>
      <c r="T100" s="44">
        <f t="shared" si="28"/>
        <v>6340.8</v>
      </c>
      <c r="U100" s="44">
        <f t="shared" si="29"/>
        <v>336</v>
      </c>
      <c r="V100" s="44">
        <f t="shared" si="47"/>
        <v>6340.8</v>
      </c>
      <c r="W100" s="45">
        <f t="shared" si="30"/>
        <v>6336</v>
      </c>
      <c r="X100" s="44">
        <f t="shared" si="31"/>
        <v>41.9928079112976</v>
      </c>
      <c r="Y100" s="46">
        <f t="shared" si="32"/>
        <v>108789120</v>
      </c>
      <c r="Z100" s="44">
        <f t="shared" si="33"/>
        <v>320083139.999999</v>
      </c>
      <c r="AA100" s="44">
        <f t="shared" si="34"/>
        <v>368725750</v>
      </c>
      <c r="AB100" s="44">
        <f t="shared" si="35"/>
        <v>343777740</v>
      </c>
      <c r="AC100" s="44">
        <f t="shared" si="36"/>
        <v>0</v>
      </c>
      <c r="AD100" s="44">
        <f t="shared" si="37"/>
        <v>741143050</v>
      </c>
      <c r="AE100" s="44">
        <f>IFERROR(VLOOKUP(C100,#REF!,5,0),0)</f>
        <v>0</v>
      </c>
      <c r="AF100" s="44">
        <f t="shared" si="38"/>
        <v>0</v>
      </c>
      <c r="AG100" s="44">
        <f t="shared" si="39"/>
        <v>0</v>
      </c>
      <c r="AH100" s="44">
        <f t="shared" si="40"/>
        <v>0</v>
      </c>
      <c r="AI100" s="44">
        <f t="shared" si="41"/>
        <v>0</v>
      </c>
      <c r="AJ100" s="44">
        <f t="shared" si="42"/>
        <v>0</v>
      </c>
      <c r="AK100" s="44">
        <f t="shared" si="43"/>
        <v>0</v>
      </c>
      <c r="AL100" s="43" t="s">
        <v>38</v>
      </c>
      <c r="AM100" s="47">
        <f t="shared" si="44"/>
        <v>6000</v>
      </c>
      <c r="AN100" s="43">
        <v>0</v>
      </c>
      <c r="AO100" s="43">
        <v>0</v>
      </c>
      <c r="AP100" s="48">
        <v>48</v>
      </c>
      <c r="AQ100" s="3">
        <f t="shared" si="46"/>
        <v>0</v>
      </c>
      <c r="AR100" s="1">
        <f t="shared" si="45"/>
        <v>6336</v>
      </c>
    </row>
    <row r="101" spans="1:44">
      <c r="A101" s="42" t="e">
        <f t="shared" si="26"/>
        <v>#REF!</v>
      </c>
      <c r="B101" s="43" t="s">
        <v>26</v>
      </c>
      <c r="C101" s="43" t="s">
        <v>282</v>
      </c>
      <c r="D101" s="43" t="s">
        <v>283</v>
      </c>
      <c r="E101" s="43" t="s">
        <v>3</v>
      </c>
      <c r="F101" s="44">
        <v>11815</v>
      </c>
      <c r="G101" s="44">
        <v>41061.3333333333</v>
      </c>
      <c r="H101" s="44">
        <v>44198</v>
      </c>
      <c r="I101" s="44">
        <v>44041.3333333333</v>
      </c>
      <c r="J101" s="44">
        <v>62999</v>
      </c>
      <c r="K101" s="44">
        <v>9432</v>
      </c>
      <c r="L101" s="44">
        <v>888</v>
      </c>
      <c r="M101" s="44">
        <v>2496</v>
      </c>
      <c r="N101" s="44">
        <v>0</v>
      </c>
      <c r="O101" s="44">
        <v>8664</v>
      </c>
      <c r="P101" s="44">
        <v>24</v>
      </c>
      <c r="Q101" s="44">
        <v>42</v>
      </c>
      <c r="R101" s="44">
        <v>74927</v>
      </c>
      <c r="S101" s="44">
        <v>51.0386455148194</v>
      </c>
      <c r="T101" s="44">
        <f t="shared" si="28"/>
        <v>30928.8666666667</v>
      </c>
      <c r="U101" s="44">
        <f t="shared" si="29"/>
        <v>7056</v>
      </c>
      <c r="V101" s="44">
        <f t="shared" si="47"/>
        <v>30928.8666666667</v>
      </c>
      <c r="W101" s="45">
        <f t="shared" si="30"/>
        <v>30936</v>
      </c>
      <c r="X101" s="44">
        <f t="shared" si="31"/>
        <v>42.004859071781</v>
      </c>
      <c r="Y101" s="46">
        <f t="shared" si="32"/>
        <v>365508840</v>
      </c>
      <c r="Z101" s="44">
        <f t="shared" si="33"/>
        <v>485139653.333333</v>
      </c>
      <c r="AA101" s="44">
        <f t="shared" si="34"/>
        <v>522199370</v>
      </c>
      <c r="AB101" s="44">
        <f t="shared" si="35"/>
        <v>520348353.333333</v>
      </c>
      <c r="AC101" s="44">
        <f t="shared" si="36"/>
        <v>0</v>
      </c>
      <c r="AD101" s="44">
        <f t="shared" si="37"/>
        <v>885262505</v>
      </c>
      <c r="AE101" s="44">
        <f>IFERROR(VLOOKUP(C101,#REF!,5,0),0)</f>
        <v>0</v>
      </c>
      <c r="AF101" s="44">
        <f t="shared" si="38"/>
        <v>0</v>
      </c>
      <c r="AG101" s="44">
        <f t="shared" si="39"/>
        <v>0</v>
      </c>
      <c r="AH101" s="44">
        <f t="shared" si="40"/>
        <v>0</v>
      </c>
      <c r="AI101" s="44">
        <f t="shared" si="41"/>
        <v>0</v>
      </c>
      <c r="AJ101" s="44">
        <f t="shared" si="42"/>
        <v>0</v>
      </c>
      <c r="AK101" s="44">
        <f t="shared" si="43"/>
        <v>0</v>
      </c>
      <c r="AL101" s="43" t="s">
        <v>38</v>
      </c>
      <c r="AM101" s="47">
        <f t="shared" si="44"/>
        <v>23880</v>
      </c>
      <c r="AN101" s="43">
        <v>2064</v>
      </c>
      <c r="AO101" s="43">
        <v>4200</v>
      </c>
      <c r="AP101" s="48">
        <v>6264</v>
      </c>
      <c r="AQ101" s="3">
        <f t="shared" si="46"/>
        <v>2064</v>
      </c>
      <c r="AR101" s="1">
        <f t="shared" si="45"/>
        <v>28872</v>
      </c>
    </row>
    <row r="102" spans="1:44">
      <c r="A102" s="42" t="e">
        <f t="shared" si="26"/>
        <v>#REF!</v>
      </c>
      <c r="B102" s="43" t="s">
        <v>26</v>
      </c>
      <c r="C102" s="43" t="s">
        <v>284</v>
      </c>
      <c r="D102" s="43" t="s">
        <v>285</v>
      </c>
      <c r="E102" s="43" t="s">
        <v>4</v>
      </c>
      <c r="F102" s="44">
        <v>6460</v>
      </c>
      <c r="G102" s="44">
        <v>15308.3333333334</v>
      </c>
      <c r="H102" s="44">
        <v>14997</v>
      </c>
      <c r="I102" s="44">
        <v>15282.3333333333</v>
      </c>
      <c r="J102" s="44">
        <v>18381</v>
      </c>
      <c r="K102" s="44">
        <v>1800</v>
      </c>
      <c r="L102" s="44">
        <v>1680</v>
      </c>
      <c r="M102" s="44">
        <v>420</v>
      </c>
      <c r="N102" s="44">
        <v>0</v>
      </c>
      <c r="O102" s="44">
        <v>6000</v>
      </c>
      <c r="P102" s="44">
        <v>60</v>
      </c>
      <c r="Q102" s="44">
        <v>42</v>
      </c>
      <c r="R102" s="44">
        <v>20601</v>
      </c>
      <c r="S102" s="44">
        <v>40.4408140118219</v>
      </c>
      <c r="T102" s="44">
        <f t="shared" si="28"/>
        <v>15791.2666666667</v>
      </c>
      <c r="U102" s="44">
        <f t="shared" si="29"/>
        <v>7260</v>
      </c>
      <c r="V102" s="44">
        <f t="shared" si="47"/>
        <v>15791.2666666667</v>
      </c>
      <c r="W102" s="45">
        <f t="shared" si="30"/>
        <v>15780</v>
      </c>
      <c r="X102" s="44">
        <f t="shared" si="31"/>
        <v>41.977882958536</v>
      </c>
      <c r="Y102" s="46">
        <f t="shared" si="32"/>
        <v>101938800</v>
      </c>
      <c r="Z102" s="44">
        <f t="shared" si="33"/>
        <v>98891833.3333336</v>
      </c>
      <c r="AA102" s="44">
        <f t="shared" si="34"/>
        <v>96880620</v>
      </c>
      <c r="AB102" s="44">
        <f t="shared" si="35"/>
        <v>98723873.3333333</v>
      </c>
      <c r="AC102" s="44">
        <f t="shared" si="36"/>
        <v>0</v>
      </c>
      <c r="AD102" s="44">
        <f t="shared" si="37"/>
        <v>133082460</v>
      </c>
      <c r="AE102" s="44">
        <f>IFERROR(VLOOKUP(C102,#REF!,5,0),0)</f>
        <v>0</v>
      </c>
      <c r="AF102" s="44">
        <f t="shared" si="38"/>
        <v>0</v>
      </c>
      <c r="AG102" s="44">
        <f t="shared" si="39"/>
        <v>0</v>
      </c>
      <c r="AH102" s="44">
        <f t="shared" si="40"/>
        <v>0</v>
      </c>
      <c r="AI102" s="44">
        <f t="shared" si="41"/>
        <v>0</v>
      </c>
      <c r="AJ102" s="44">
        <f t="shared" si="42"/>
        <v>0</v>
      </c>
      <c r="AK102" s="44">
        <f t="shared" si="43"/>
        <v>0</v>
      </c>
      <c r="AL102" s="43" t="s">
        <v>38</v>
      </c>
      <c r="AM102" s="47">
        <f t="shared" si="44"/>
        <v>8520</v>
      </c>
      <c r="AN102" s="43">
        <v>3120</v>
      </c>
      <c r="AO102" s="43">
        <v>4380</v>
      </c>
      <c r="AP102" s="48">
        <v>5820</v>
      </c>
      <c r="AQ102" s="3">
        <f t="shared" si="46"/>
        <v>3120</v>
      </c>
      <c r="AR102" s="1">
        <f t="shared" si="45"/>
        <v>12660</v>
      </c>
    </row>
    <row r="103" spans="1:44">
      <c r="A103" s="42" t="e">
        <f t="shared" si="26"/>
        <v>#REF!</v>
      </c>
      <c r="B103" s="43" t="s">
        <v>26</v>
      </c>
      <c r="C103" s="43" t="s">
        <v>286</v>
      </c>
      <c r="D103" s="43" t="s">
        <v>287</v>
      </c>
      <c r="E103" s="43" t="s">
        <v>4</v>
      </c>
      <c r="F103" s="44">
        <v>17935</v>
      </c>
      <c r="G103" s="44">
        <v>3371.33333333331</v>
      </c>
      <c r="H103" s="44">
        <v>3224</v>
      </c>
      <c r="I103" s="44">
        <v>3344.66666666667</v>
      </c>
      <c r="J103" s="44">
        <v>7494</v>
      </c>
      <c r="K103" s="44">
        <v>1152</v>
      </c>
      <c r="L103" s="44">
        <v>0</v>
      </c>
      <c r="M103" s="44">
        <v>0</v>
      </c>
      <c r="N103" s="44">
        <v>0</v>
      </c>
      <c r="O103" s="44">
        <v>336</v>
      </c>
      <c r="P103" s="44">
        <v>48</v>
      </c>
      <c r="Q103" s="44">
        <v>42</v>
      </c>
      <c r="R103" s="44">
        <v>8646</v>
      </c>
      <c r="S103" s="44">
        <v>77.5503288818019</v>
      </c>
      <c r="T103" s="44">
        <f t="shared" si="28"/>
        <v>0</v>
      </c>
      <c r="U103" s="44">
        <f t="shared" si="29"/>
        <v>336</v>
      </c>
      <c r="V103" s="44">
        <f t="shared" si="47"/>
        <v>336</v>
      </c>
      <c r="W103" s="45">
        <f t="shared" si="30"/>
        <v>336</v>
      </c>
      <c r="X103" s="44">
        <f t="shared" si="31"/>
        <v>51.6464022324098</v>
      </c>
      <c r="Y103" s="46">
        <f t="shared" si="32"/>
        <v>6026160</v>
      </c>
      <c r="Z103" s="44">
        <f t="shared" si="33"/>
        <v>60464863.333333</v>
      </c>
      <c r="AA103" s="44">
        <f t="shared" si="34"/>
        <v>57822440</v>
      </c>
      <c r="AB103" s="44">
        <f t="shared" si="35"/>
        <v>59986596.6666667</v>
      </c>
      <c r="AC103" s="44">
        <f t="shared" si="36"/>
        <v>0</v>
      </c>
      <c r="AD103" s="44">
        <f t="shared" si="37"/>
        <v>155066010</v>
      </c>
      <c r="AE103" s="44">
        <f>IFERROR(VLOOKUP(C103,#REF!,5,0),0)</f>
        <v>0</v>
      </c>
      <c r="AF103" s="44">
        <f t="shared" si="38"/>
        <v>0</v>
      </c>
      <c r="AG103" s="44">
        <f t="shared" si="39"/>
        <v>0</v>
      </c>
      <c r="AH103" s="44">
        <f t="shared" si="40"/>
        <v>0</v>
      </c>
      <c r="AI103" s="44">
        <f t="shared" si="41"/>
        <v>0</v>
      </c>
      <c r="AJ103" s="44">
        <f t="shared" si="42"/>
        <v>0</v>
      </c>
      <c r="AK103" s="44">
        <f t="shared" si="43"/>
        <v>0</v>
      </c>
      <c r="AL103" s="43" t="s">
        <v>38</v>
      </c>
      <c r="AM103" s="47">
        <f t="shared" si="44"/>
        <v>0</v>
      </c>
      <c r="AN103" s="43">
        <v>0</v>
      </c>
      <c r="AO103" s="43">
        <v>0</v>
      </c>
      <c r="AP103" s="48">
        <v>0</v>
      </c>
      <c r="AQ103" s="3">
        <f t="shared" si="46"/>
        <v>0</v>
      </c>
      <c r="AR103" s="1">
        <f t="shared" si="45"/>
        <v>336</v>
      </c>
    </row>
    <row r="104" spans="1:44">
      <c r="A104" s="42" t="e">
        <f t="shared" si="26"/>
        <v>#REF!</v>
      </c>
      <c r="B104" s="43" t="s">
        <v>26</v>
      </c>
      <c r="C104" s="43" t="s">
        <v>288</v>
      </c>
      <c r="D104" s="43" t="s">
        <v>289</v>
      </c>
      <c r="E104" s="43" t="s">
        <v>3</v>
      </c>
      <c r="F104" s="44">
        <v>17935</v>
      </c>
      <c r="G104" s="44">
        <v>17386.9999999999</v>
      </c>
      <c r="H104" s="44">
        <v>18996</v>
      </c>
      <c r="I104" s="44">
        <v>17925</v>
      </c>
      <c r="J104" s="44">
        <v>29412</v>
      </c>
      <c r="K104" s="44">
        <v>3408</v>
      </c>
      <c r="L104" s="44">
        <v>624</v>
      </c>
      <c r="M104" s="44">
        <v>1296</v>
      </c>
      <c r="N104" s="44">
        <v>0</v>
      </c>
      <c r="O104" s="44">
        <v>3072</v>
      </c>
      <c r="P104" s="44">
        <v>48</v>
      </c>
      <c r="Q104" s="44">
        <v>42</v>
      </c>
      <c r="R104" s="44">
        <v>34116</v>
      </c>
      <c r="S104" s="44">
        <v>57.0979079497908</v>
      </c>
      <c r="T104" s="44">
        <f t="shared" si="28"/>
        <v>9974.99999999999</v>
      </c>
      <c r="U104" s="44">
        <f t="shared" si="29"/>
        <v>2400</v>
      </c>
      <c r="V104" s="44">
        <f t="shared" si="47"/>
        <v>9974.99999999999</v>
      </c>
      <c r="W104" s="45">
        <f t="shared" si="30"/>
        <v>9984</v>
      </c>
      <c r="X104" s="44">
        <f t="shared" si="31"/>
        <v>42.0150627615063</v>
      </c>
      <c r="Y104" s="46">
        <f t="shared" si="32"/>
        <v>179063040</v>
      </c>
      <c r="Z104" s="44">
        <f t="shared" si="33"/>
        <v>311835844.999999</v>
      </c>
      <c r="AA104" s="44">
        <f t="shared" si="34"/>
        <v>340693260</v>
      </c>
      <c r="AB104" s="44">
        <f t="shared" si="35"/>
        <v>321484875</v>
      </c>
      <c r="AC104" s="44">
        <f t="shared" si="36"/>
        <v>0</v>
      </c>
      <c r="AD104" s="44">
        <f t="shared" si="37"/>
        <v>611870460</v>
      </c>
      <c r="AE104" s="44">
        <f>IFERROR(VLOOKUP(C104,#REF!,5,0),0)</f>
        <v>0</v>
      </c>
      <c r="AF104" s="44">
        <f t="shared" si="38"/>
        <v>0</v>
      </c>
      <c r="AG104" s="44">
        <f t="shared" si="39"/>
        <v>0</v>
      </c>
      <c r="AH104" s="44">
        <f t="shared" si="40"/>
        <v>0</v>
      </c>
      <c r="AI104" s="44">
        <f t="shared" si="41"/>
        <v>0</v>
      </c>
      <c r="AJ104" s="44">
        <f t="shared" si="42"/>
        <v>0</v>
      </c>
      <c r="AK104" s="44">
        <f t="shared" si="43"/>
        <v>0</v>
      </c>
      <c r="AL104" s="43" t="s">
        <v>38</v>
      </c>
      <c r="AM104" s="47">
        <f t="shared" si="44"/>
        <v>7584</v>
      </c>
      <c r="AN104" s="43">
        <v>672</v>
      </c>
      <c r="AO104" s="43">
        <v>1296</v>
      </c>
      <c r="AP104" s="48">
        <v>2064</v>
      </c>
      <c r="AQ104" s="3">
        <f t="shared" si="46"/>
        <v>672</v>
      </c>
      <c r="AR104" s="1">
        <f>W104-AQ104</f>
        <v>9312</v>
      </c>
    </row>
    <row r="105" spans="1:44">
      <c r="A105" s="42" t="e">
        <f t="shared" si="26"/>
        <v>#REF!</v>
      </c>
      <c r="B105" s="43" t="s">
        <v>26</v>
      </c>
      <c r="C105" s="43" t="s">
        <v>290</v>
      </c>
      <c r="D105" s="43" t="s">
        <v>291</v>
      </c>
      <c r="E105" s="43" t="s">
        <v>3</v>
      </c>
      <c r="F105" s="44">
        <v>7565</v>
      </c>
      <c r="G105" s="44">
        <v>160412.333333333</v>
      </c>
      <c r="H105" s="44">
        <v>163912</v>
      </c>
      <c r="I105" s="44">
        <v>143662.333333333</v>
      </c>
      <c r="J105" s="44">
        <v>245954</v>
      </c>
      <c r="K105" s="44">
        <v>35736</v>
      </c>
      <c r="L105" s="44">
        <v>11664</v>
      </c>
      <c r="M105" s="44">
        <v>27504</v>
      </c>
      <c r="N105" s="44">
        <v>0</v>
      </c>
      <c r="O105" s="44">
        <v>32136</v>
      </c>
      <c r="P105" s="44">
        <v>24</v>
      </c>
      <c r="Q105" s="44">
        <v>42</v>
      </c>
      <c r="R105" s="44">
        <v>309194</v>
      </c>
      <c r="S105" s="44">
        <v>64.5668198808781</v>
      </c>
      <c r="T105" s="44">
        <f t="shared" si="28"/>
        <v>55845.2666666666</v>
      </c>
      <c r="U105" s="44">
        <f t="shared" si="29"/>
        <v>16296</v>
      </c>
      <c r="V105" s="44">
        <f t="shared" si="47"/>
        <v>55845.2666666666</v>
      </c>
      <c r="W105" s="45">
        <f t="shared" si="30"/>
        <v>55848</v>
      </c>
      <c r="X105" s="44">
        <f t="shared" si="31"/>
        <v>42.0005707828774</v>
      </c>
      <c r="Y105" s="46">
        <f t="shared" si="32"/>
        <v>422490120</v>
      </c>
      <c r="Z105" s="44">
        <f t="shared" si="33"/>
        <v>1213519301.66667</v>
      </c>
      <c r="AA105" s="44">
        <f t="shared" si="34"/>
        <v>1239994280</v>
      </c>
      <c r="AB105" s="44">
        <f t="shared" si="35"/>
        <v>1086805551.66667</v>
      </c>
      <c r="AC105" s="44">
        <f t="shared" si="36"/>
        <v>0</v>
      </c>
      <c r="AD105" s="44">
        <f t="shared" si="37"/>
        <v>2339052610</v>
      </c>
      <c r="AE105" s="44">
        <f>IFERROR(VLOOKUP(C105,#REF!,5,0),0)</f>
        <v>0</v>
      </c>
      <c r="AF105" s="44">
        <f t="shared" si="38"/>
        <v>0</v>
      </c>
      <c r="AG105" s="44">
        <f t="shared" si="39"/>
        <v>0</v>
      </c>
      <c r="AH105" s="44">
        <f t="shared" si="40"/>
        <v>0</v>
      </c>
      <c r="AI105" s="44">
        <f t="shared" si="41"/>
        <v>0</v>
      </c>
      <c r="AJ105" s="44">
        <f t="shared" si="42"/>
        <v>0</v>
      </c>
      <c r="AK105" s="44">
        <f t="shared" si="43"/>
        <v>0</v>
      </c>
      <c r="AL105" s="43" t="s">
        <v>38</v>
      </c>
      <c r="AM105" s="47">
        <f t="shared" si="44"/>
        <v>39552</v>
      </c>
      <c r="AN105" s="43">
        <v>0</v>
      </c>
      <c r="AO105" s="43">
        <v>0</v>
      </c>
      <c r="AP105" s="48">
        <v>4776</v>
      </c>
      <c r="AQ105" s="3">
        <f t="shared" si="46"/>
        <v>0</v>
      </c>
      <c r="AR105" s="1">
        <f>W105-AQ105</f>
        <v>55848</v>
      </c>
    </row>
    <row r="106" spans="1:44">
      <c r="A106" s="42" t="e">
        <f t="shared" si="26"/>
        <v>#REF!</v>
      </c>
      <c r="B106" s="43" t="s">
        <v>26</v>
      </c>
      <c r="C106" s="43" t="s">
        <v>292</v>
      </c>
      <c r="D106" s="43" t="s">
        <v>293</v>
      </c>
      <c r="E106" s="43" t="s">
        <v>3</v>
      </c>
      <c r="F106" s="44">
        <v>8330</v>
      </c>
      <c r="G106" s="44">
        <v>74146.9999999999</v>
      </c>
      <c r="H106" s="44">
        <v>49655.6905481182</v>
      </c>
      <c r="I106" s="44">
        <v>52954.2301827061</v>
      </c>
      <c r="J106" s="44">
        <v>119400</v>
      </c>
      <c r="K106" s="44">
        <v>7200</v>
      </c>
      <c r="L106" s="44">
        <v>0</v>
      </c>
      <c r="M106" s="44">
        <v>37728</v>
      </c>
      <c r="N106" s="44">
        <v>0</v>
      </c>
      <c r="O106" s="44">
        <v>576</v>
      </c>
      <c r="P106" s="44">
        <v>288</v>
      </c>
      <c r="Q106" s="44">
        <v>55</v>
      </c>
      <c r="R106" s="44">
        <v>164328</v>
      </c>
      <c r="S106" s="44">
        <v>93.0962452478442</v>
      </c>
      <c r="T106" s="44">
        <f t="shared" si="28"/>
        <v>0</v>
      </c>
      <c r="U106" s="44">
        <f t="shared" si="29"/>
        <v>0</v>
      </c>
      <c r="V106" s="44">
        <f t="shared" si="47"/>
        <v>0</v>
      </c>
      <c r="W106" s="45">
        <f t="shared" si="30"/>
        <v>0</v>
      </c>
      <c r="X106" s="44">
        <f t="shared" si="31"/>
        <v>64.9649569389822</v>
      </c>
      <c r="Y106" s="46">
        <f t="shared" si="32"/>
        <v>0</v>
      </c>
      <c r="Z106" s="44">
        <f t="shared" si="33"/>
        <v>617644509.999999</v>
      </c>
      <c r="AA106" s="44">
        <f t="shared" si="34"/>
        <v>413631902.265825</v>
      </c>
      <c r="AB106" s="44">
        <f t="shared" si="35"/>
        <v>441108737.421942</v>
      </c>
      <c r="AC106" s="44">
        <f t="shared" si="36"/>
        <v>0</v>
      </c>
      <c r="AD106" s="44">
        <f t="shared" si="37"/>
        <v>1368852240</v>
      </c>
      <c r="AE106" s="44">
        <f>IFERROR(VLOOKUP(C106,#REF!,5,0),0)</f>
        <v>0</v>
      </c>
      <c r="AF106" s="44">
        <f t="shared" si="38"/>
        <v>0</v>
      </c>
      <c r="AG106" s="44">
        <f t="shared" si="39"/>
        <v>0</v>
      </c>
      <c r="AH106" s="44">
        <f t="shared" si="40"/>
        <v>0</v>
      </c>
      <c r="AI106" s="44">
        <f t="shared" si="41"/>
        <v>0</v>
      </c>
      <c r="AJ106" s="44">
        <f t="shared" si="42"/>
        <v>0</v>
      </c>
      <c r="AK106" s="44">
        <f t="shared" si="43"/>
        <v>0</v>
      </c>
      <c r="AL106" s="43" t="s">
        <v>45</v>
      </c>
      <c r="AM106" s="47">
        <f t="shared" si="44"/>
        <v>0</v>
      </c>
      <c r="AN106" s="43">
        <v>0</v>
      </c>
      <c r="AO106" s="43">
        <v>0</v>
      </c>
      <c r="AP106" s="48">
        <v>0</v>
      </c>
      <c r="AQ106" s="3">
        <f t="shared" si="46"/>
        <v>0</v>
      </c>
      <c r="AR106" s="1">
        <f>W106-AQ106</f>
        <v>0</v>
      </c>
    </row>
    <row r="107" spans="1:44">
      <c r="A107" s="42" t="e">
        <f t="shared" si="26"/>
        <v>#REF!</v>
      </c>
      <c r="B107" s="43" t="s">
        <v>26</v>
      </c>
      <c r="C107" s="43" t="s">
        <v>294</v>
      </c>
      <c r="D107" s="43" t="s">
        <v>295</v>
      </c>
      <c r="E107" s="43" t="s">
        <v>3</v>
      </c>
      <c r="F107" s="44">
        <v>15215</v>
      </c>
      <c r="G107" s="44">
        <v>29482.3333333334</v>
      </c>
      <c r="H107" s="44">
        <v>20069.0823856086</v>
      </c>
      <c r="I107" s="44">
        <v>20837.6941285362</v>
      </c>
      <c r="J107" s="44">
        <v>45351</v>
      </c>
      <c r="K107" s="44">
        <v>3888</v>
      </c>
      <c r="L107" s="44">
        <v>0</v>
      </c>
      <c r="M107" s="44">
        <v>12384</v>
      </c>
      <c r="N107" s="44">
        <v>0</v>
      </c>
      <c r="O107" s="44">
        <v>144</v>
      </c>
      <c r="P107" s="44">
        <v>144</v>
      </c>
      <c r="Q107" s="44">
        <v>55</v>
      </c>
      <c r="R107" s="44">
        <v>61623</v>
      </c>
      <c r="S107" s="44">
        <v>88.7185495955768</v>
      </c>
      <c r="T107" s="44">
        <f t="shared" si="28"/>
        <v>0</v>
      </c>
      <c r="U107" s="44">
        <f t="shared" si="29"/>
        <v>0</v>
      </c>
      <c r="V107" s="44">
        <f t="shared" si="47"/>
        <v>0</v>
      </c>
      <c r="W107" s="45">
        <f t="shared" si="30"/>
        <v>0</v>
      </c>
      <c r="X107" s="44">
        <f t="shared" si="31"/>
        <v>59.8251188803352</v>
      </c>
      <c r="Y107" s="46">
        <f t="shared" si="32"/>
        <v>0</v>
      </c>
      <c r="Z107" s="44">
        <f t="shared" si="33"/>
        <v>448573701.666667</v>
      </c>
      <c r="AA107" s="44">
        <f t="shared" si="34"/>
        <v>305351088.497035</v>
      </c>
      <c r="AB107" s="44">
        <f t="shared" si="35"/>
        <v>317045516.165678</v>
      </c>
      <c r="AC107" s="44">
        <f t="shared" si="36"/>
        <v>0</v>
      </c>
      <c r="AD107" s="44">
        <f t="shared" si="37"/>
        <v>937593945</v>
      </c>
      <c r="AE107" s="44">
        <f>IFERROR(VLOOKUP(C107,#REF!,5,0),0)</f>
        <v>0</v>
      </c>
      <c r="AF107" s="44">
        <f t="shared" si="38"/>
        <v>0</v>
      </c>
      <c r="AG107" s="44">
        <f t="shared" si="39"/>
        <v>0</v>
      </c>
      <c r="AH107" s="44">
        <f t="shared" si="40"/>
        <v>0</v>
      </c>
      <c r="AI107" s="44">
        <f t="shared" si="41"/>
        <v>0</v>
      </c>
      <c r="AJ107" s="44">
        <f t="shared" si="42"/>
        <v>0</v>
      </c>
      <c r="AK107" s="44">
        <f t="shared" si="43"/>
        <v>0</v>
      </c>
      <c r="AL107" s="43" t="s">
        <v>45</v>
      </c>
      <c r="AM107" s="47">
        <f t="shared" si="44"/>
        <v>0</v>
      </c>
      <c r="AN107" s="43">
        <v>0</v>
      </c>
      <c r="AO107" s="43">
        <v>0</v>
      </c>
      <c r="AP107" s="48">
        <v>0</v>
      </c>
      <c r="AQ107" s="3">
        <f t="shared" si="46"/>
        <v>0</v>
      </c>
      <c r="AR107" s="1">
        <f>W107-AQ107</f>
        <v>0</v>
      </c>
    </row>
    <row r="108" spans="1:44">
      <c r="A108" s="42" t="e">
        <f t="shared" si="26"/>
        <v>#REF!</v>
      </c>
      <c r="B108" s="43" t="s">
        <v>26</v>
      </c>
      <c r="C108" s="43" t="s">
        <v>296</v>
      </c>
      <c r="D108" s="43" t="s">
        <v>297</v>
      </c>
      <c r="E108" s="43" t="s">
        <v>4</v>
      </c>
      <c r="F108" s="44">
        <v>33150</v>
      </c>
      <c r="G108" s="44">
        <v>3190.99999999998</v>
      </c>
      <c r="H108" s="44">
        <v>2459.4077975275</v>
      </c>
      <c r="I108" s="44">
        <v>1950.80259917583</v>
      </c>
      <c r="J108" s="44">
        <v>9870</v>
      </c>
      <c r="K108" s="44">
        <v>144</v>
      </c>
      <c r="L108" s="44">
        <v>432</v>
      </c>
      <c r="M108" s="44">
        <v>3456</v>
      </c>
      <c r="N108" s="44">
        <v>0</v>
      </c>
      <c r="O108" s="44">
        <v>0</v>
      </c>
      <c r="P108" s="44">
        <v>144</v>
      </c>
      <c r="Q108" s="44">
        <v>55</v>
      </c>
      <c r="R108" s="44">
        <v>13470</v>
      </c>
      <c r="S108" s="44">
        <v>207.145510350828</v>
      </c>
      <c r="T108" s="44">
        <f t="shared" si="28"/>
        <v>0</v>
      </c>
      <c r="U108" s="44">
        <f t="shared" si="29"/>
        <v>0</v>
      </c>
      <c r="V108" s="44">
        <f t="shared" si="47"/>
        <v>0</v>
      </c>
      <c r="W108" s="45">
        <f t="shared" si="30"/>
        <v>0</v>
      </c>
      <c r="X108" s="44">
        <f t="shared" si="31"/>
        <v>169.324034227618</v>
      </c>
      <c r="Y108" s="46">
        <f t="shared" si="32"/>
        <v>0</v>
      </c>
      <c r="Z108" s="44">
        <f t="shared" si="33"/>
        <v>105781649.999999</v>
      </c>
      <c r="AA108" s="44">
        <f t="shared" si="34"/>
        <v>81529368.4880365</v>
      </c>
      <c r="AB108" s="44">
        <f t="shared" si="35"/>
        <v>64669106.1626788</v>
      </c>
      <c r="AC108" s="44">
        <f t="shared" si="36"/>
        <v>0</v>
      </c>
      <c r="AD108" s="44">
        <f t="shared" si="37"/>
        <v>446530500</v>
      </c>
      <c r="AE108" s="44">
        <f>IFERROR(VLOOKUP(C108,#REF!,5,0),0)</f>
        <v>0</v>
      </c>
      <c r="AF108" s="44">
        <f t="shared" si="38"/>
        <v>0</v>
      </c>
      <c r="AG108" s="44">
        <f t="shared" si="39"/>
        <v>0</v>
      </c>
      <c r="AH108" s="44">
        <f t="shared" si="40"/>
        <v>0</v>
      </c>
      <c r="AI108" s="44">
        <f t="shared" si="41"/>
        <v>0</v>
      </c>
      <c r="AJ108" s="44">
        <f t="shared" si="42"/>
        <v>0</v>
      </c>
      <c r="AK108" s="44">
        <f t="shared" si="43"/>
        <v>0</v>
      </c>
      <c r="AL108" s="43" t="s">
        <v>45</v>
      </c>
      <c r="AM108" s="47">
        <f t="shared" si="44"/>
        <v>0</v>
      </c>
      <c r="AN108" s="43">
        <v>0</v>
      </c>
      <c r="AO108" s="43">
        <v>0</v>
      </c>
      <c r="AP108" s="48">
        <v>0</v>
      </c>
      <c r="AQ108" s="3">
        <f t="shared" si="46"/>
        <v>0</v>
      </c>
      <c r="AR108" s="1">
        <f>W108-AQ108</f>
        <v>0</v>
      </c>
    </row>
    <row r="109" spans="1:44">
      <c r="A109" s="42" t="e">
        <f t="shared" si="26"/>
        <v>#REF!</v>
      </c>
      <c r="B109" s="43" t="s">
        <v>26</v>
      </c>
      <c r="C109" s="43" t="s">
        <v>298</v>
      </c>
      <c r="D109" s="43" t="s">
        <v>299</v>
      </c>
      <c r="E109" s="43" t="s">
        <v>4</v>
      </c>
      <c r="F109" s="44">
        <v>9690</v>
      </c>
      <c r="G109" s="44">
        <v>703</v>
      </c>
      <c r="H109" s="44">
        <v>728.612759646818</v>
      </c>
      <c r="I109" s="44">
        <v>645.870919882273</v>
      </c>
      <c r="J109" s="44">
        <v>4613</v>
      </c>
      <c r="K109" s="44">
        <v>0</v>
      </c>
      <c r="L109" s="44">
        <v>0</v>
      </c>
      <c r="M109" s="44">
        <v>0</v>
      </c>
      <c r="N109" s="44">
        <v>0</v>
      </c>
      <c r="O109" s="44">
        <v>0</v>
      </c>
      <c r="P109" s="44">
        <v>240</v>
      </c>
      <c r="Q109" s="44">
        <v>55</v>
      </c>
      <c r="R109" s="44">
        <v>4613</v>
      </c>
      <c r="S109" s="44">
        <v>214.26882019278</v>
      </c>
      <c r="T109" s="44">
        <f t="shared" si="28"/>
        <v>0</v>
      </c>
      <c r="U109" s="44">
        <f t="shared" si="29"/>
        <v>0</v>
      </c>
      <c r="V109" s="44">
        <f t="shared" si="47"/>
        <v>0</v>
      </c>
      <c r="W109" s="45">
        <f t="shared" si="30"/>
        <v>0</v>
      </c>
      <c r="X109" s="44">
        <f t="shared" si="31"/>
        <v>180.425551953688</v>
      </c>
      <c r="Y109" s="46">
        <f t="shared" si="32"/>
        <v>0</v>
      </c>
      <c r="Z109" s="44">
        <f t="shared" si="33"/>
        <v>6812070</v>
      </c>
      <c r="AA109" s="44">
        <f t="shared" si="34"/>
        <v>7060257.64097767</v>
      </c>
      <c r="AB109" s="44">
        <f t="shared" si="35"/>
        <v>6258489.21365922</v>
      </c>
      <c r="AC109" s="44">
        <f t="shared" si="36"/>
        <v>0</v>
      </c>
      <c r="AD109" s="44">
        <f t="shared" si="37"/>
        <v>44699970</v>
      </c>
      <c r="AE109" s="44">
        <f>IFERROR(VLOOKUP(C109,#REF!,5,0),0)</f>
        <v>0</v>
      </c>
      <c r="AF109" s="44">
        <f t="shared" si="38"/>
        <v>0</v>
      </c>
      <c r="AG109" s="44">
        <f t="shared" si="39"/>
        <v>0</v>
      </c>
      <c r="AH109" s="44">
        <f t="shared" si="40"/>
        <v>0</v>
      </c>
      <c r="AI109" s="44">
        <f t="shared" si="41"/>
        <v>0</v>
      </c>
      <c r="AJ109" s="44">
        <f t="shared" si="42"/>
        <v>0</v>
      </c>
      <c r="AK109" s="44">
        <f t="shared" si="43"/>
        <v>0</v>
      </c>
      <c r="AL109" s="43" t="s">
        <v>45</v>
      </c>
      <c r="AM109" s="47">
        <f t="shared" si="44"/>
        <v>0</v>
      </c>
      <c r="AN109" s="43">
        <v>0</v>
      </c>
      <c r="AO109" s="43">
        <v>0</v>
      </c>
      <c r="AP109" s="48">
        <v>0</v>
      </c>
      <c r="AQ109" s="3">
        <f t="shared" si="46"/>
        <v>0</v>
      </c>
      <c r="AR109" s="1">
        <f>W109-AQ109</f>
        <v>0</v>
      </c>
    </row>
    <row r="110" spans="1:44">
      <c r="A110" s="42" t="e">
        <f t="shared" si="26"/>
        <v>#REF!</v>
      </c>
      <c r="B110" s="43" t="s">
        <v>26</v>
      </c>
      <c r="C110" s="43" t="s">
        <v>300</v>
      </c>
      <c r="D110" s="43" t="s">
        <v>301</v>
      </c>
      <c r="E110" s="43" t="s">
        <v>4</v>
      </c>
      <c r="F110" s="44">
        <v>17680</v>
      </c>
      <c r="G110" s="44">
        <v>2608.00000000001</v>
      </c>
      <c r="H110" s="44">
        <v>2186.94304894095</v>
      </c>
      <c r="I110" s="44">
        <v>1781.64768298032</v>
      </c>
      <c r="J110" s="44">
        <v>7516</v>
      </c>
      <c r="K110" s="44">
        <v>0</v>
      </c>
      <c r="L110" s="44">
        <v>480</v>
      </c>
      <c r="M110" s="44">
        <v>3600</v>
      </c>
      <c r="N110" s="44">
        <v>0</v>
      </c>
      <c r="O110" s="44">
        <v>0</v>
      </c>
      <c r="P110" s="44">
        <v>240</v>
      </c>
      <c r="Q110" s="44">
        <v>55</v>
      </c>
      <c r="R110" s="44">
        <v>11116</v>
      </c>
      <c r="S110" s="44">
        <v>187.175053286719</v>
      </c>
      <c r="T110" s="44">
        <f t="shared" si="28"/>
        <v>0</v>
      </c>
      <c r="U110" s="44">
        <f t="shared" si="29"/>
        <v>0</v>
      </c>
      <c r="V110" s="44">
        <f t="shared" si="47"/>
        <v>0</v>
      </c>
      <c r="W110" s="45">
        <f t="shared" si="30"/>
        <v>0</v>
      </c>
      <c r="X110" s="44">
        <f t="shared" si="31"/>
        <v>150.350549713443</v>
      </c>
      <c r="Y110" s="46">
        <f t="shared" si="32"/>
        <v>0</v>
      </c>
      <c r="Z110" s="44">
        <f t="shared" si="33"/>
        <v>46109440.0000001</v>
      </c>
      <c r="AA110" s="44">
        <f t="shared" si="34"/>
        <v>38665153.1052759</v>
      </c>
      <c r="AB110" s="44">
        <f t="shared" si="35"/>
        <v>31499531.035092</v>
      </c>
      <c r="AC110" s="44">
        <f t="shared" si="36"/>
        <v>0</v>
      </c>
      <c r="AD110" s="44">
        <f t="shared" si="37"/>
        <v>196530880</v>
      </c>
      <c r="AE110" s="44">
        <f>IFERROR(VLOOKUP(C110,#REF!,5,0),0)</f>
        <v>0</v>
      </c>
      <c r="AF110" s="44">
        <f t="shared" si="38"/>
        <v>0</v>
      </c>
      <c r="AG110" s="44">
        <f t="shared" si="39"/>
        <v>0</v>
      </c>
      <c r="AH110" s="44">
        <f t="shared" si="40"/>
        <v>0</v>
      </c>
      <c r="AI110" s="44">
        <f t="shared" si="41"/>
        <v>0</v>
      </c>
      <c r="AJ110" s="44">
        <f t="shared" si="42"/>
        <v>0</v>
      </c>
      <c r="AK110" s="44">
        <f t="shared" si="43"/>
        <v>0</v>
      </c>
      <c r="AL110" s="43" t="s">
        <v>45</v>
      </c>
      <c r="AM110" s="47">
        <f t="shared" si="44"/>
        <v>0</v>
      </c>
      <c r="AN110" s="43">
        <v>0</v>
      </c>
      <c r="AO110" s="43">
        <v>0</v>
      </c>
      <c r="AP110" s="48">
        <v>0</v>
      </c>
      <c r="AQ110" s="3">
        <f t="shared" si="46"/>
        <v>0</v>
      </c>
      <c r="AR110" s="1">
        <f>W110-AQ110</f>
        <v>0</v>
      </c>
    </row>
    <row r="111" spans="1:44">
      <c r="A111" s="42" t="e">
        <f t="shared" si="26"/>
        <v>#REF!</v>
      </c>
      <c r="B111" s="43" t="s">
        <v>26</v>
      </c>
      <c r="C111" s="43" t="s">
        <v>302</v>
      </c>
      <c r="D111" s="43" t="s">
        <v>303</v>
      </c>
      <c r="E111" s="43" t="s">
        <v>4</v>
      </c>
      <c r="F111" s="44">
        <v>19295</v>
      </c>
      <c r="G111" s="44">
        <v>67549.9999999996</v>
      </c>
      <c r="H111" s="44">
        <v>56792.6403058704</v>
      </c>
      <c r="I111" s="44">
        <v>48326.5467686235</v>
      </c>
      <c r="J111" s="44">
        <v>118180</v>
      </c>
      <c r="K111" s="44">
        <v>4140</v>
      </c>
      <c r="L111" s="44">
        <v>0</v>
      </c>
      <c r="M111" s="44">
        <v>57840</v>
      </c>
      <c r="N111" s="44">
        <v>0</v>
      </c>
      <c r="O111" s="44">
        <v>240</v>
      </c>
      <c r="P111" s="44">
        <v>60</v>
      </c>
      <c r="Q111" s="44">
        <v>55</v>
      </c>
      <c r="R111" s="44">
        <v>180160</v>
      </c>
      <c r="S111" s="44">
        <v>111.839151799465</v>
      </c>
      <c r="T111" s="44">
        <f t="shared" si="28"/>
        <v>0</v>
      </c>
      <c r="U111" s="44">
        <f t="shared" si="29"/>
        <v>0</v>
      </c>
      <c r="V111" s="44">
        <f t="shared" si="47"/>
        <v>0</v>
      </c>
      <c r="W111" s="45">
        <f t="shared" si="30"/>
        <v>0</v>
      </c>
      <c r="X111" s="44">
        <f t="shared" si="31"/>
        <v>76.5835971799006</v>
      </c>
      <c r="Y111" s="46">
        <f t="shared" si="32"/>
        <v>0</v>
      </c>
      <c r="Z111" s="44">
        <f t="shared" si="33"/>
        <v>1303377249.99999</v>
      </c>
      <c r="AA111" s="44">
        <f t="shared" si="34"/>
        <v>1095813994.70177</v>
      </c>
      <c r="AB111" s="44">
        <f t="shared" si="35"/>
        <v>932460719.90059</v>
      </c>
      <c r="AC111" s="44">
        <f t="shared" si="36"/>
        <v>0</v>
      </c>
      <c r="AD111" s="44">
        <f t="shared" si="37"/>
        <v>3476187200</v>
      </c>
      <c r="AE111" s="44">
        <f>IFERROR(VLOOKUP(C111,#REF!,5,0),0)</f>
        <v>0</v>
      </c>
      <c r="AF111" s="44">
        <f t="shared" si="38"/>
        <v>0</v>
      </c>
      <c r="AG111" s="44">
        <f t="shared" si="39"/>
        <v>0</v>
      </c>
      <c r="AH111" s="44">
        <f t="shared" si="40"/>
        <v>0</v>
      </c>
      <c r="AI111" s="44">
        <f t="shared" si="41"/>
        <v>0</v>
      </c>
      <c r="AJ111" s="44">
        <f t="shared" si="42"/>
        <v>0</v>
      </c>
      <c r="AK111" s="44">
        <f t="shared" si="43"/>
        <v>0</v>
      </c>
      <c r="AL111" s="43" t="s">
        <v>45</v>
      </c>
      <c r="AM111" s="47">
        <f t="shared" si="44"/>
        <v>0</v>
      </c>
      <c r="AN111" s="43">
        <v>0</v>
      </c>
      <c r="AO111" s="43">
        <v>0</v>
      </c>
      <c r="AP111" s="48">
        <v>0</v>
      </c>
      <c r="AQ111" s="3">
        <f t="shared" si="46"/>
        <v>0</v>
      </c>
      <c r="AR111" s="1">
        <f>W111-AQ111</f>
        <v>0</v>
      </c>
    </row>
    <row r="112" spans="1:44">
      <c r="A112" s="42" t="e">
        <f t="shared" si="26"/>
        <v>#REF!</v>
      </c>
      <c r="B112" s="43" t="s">
        <v>26</v>
      </c>
      <c r="C112" s="43" t="s">
        <v>304</v>
      </c>
      <c r="D112" s="43" t="s">
        <v>305</v>
      </c>
      <c r="E112" s="43" t="s">
        <v>4</v>
      </c>
      <c r="F112" s="44">
        <v>11560</v>
      </c>
      <c r="G112" s="44">
        <v>13296.0000000001</v>
      </c>
      <c r="H112" s="44">
        <v>13219.7456031369</v>
      </c>
      <c r="I112" s="44">
        <v>6805.24853437897</v>
      </c>
      <c r="J112" s="44">
        <v>1040</v>
      </c>
      <c r="K112" s="44">
        <v>0</v>
      </c>
      <c r="L112" s="44">
        <v>0</v>
      </c>
      <c r="M112" s="44">
        <v>0</v>
      </c>
      <c r="N112" s="44">
        <v>0</v>
      </c>
      <c r="O112" s="44">
        <v>240</v>
      </c>
      <c r="P112" s="44">
        <v>240</v>
      </c>
      <c r="Q112" s="44">
        <v>55</v>
      </c>
      <c r="R112" s="44">
        <v>1040</v>
      </c>
      <c r="S112" s="44">
        <v>4.58469662678488</v>
      </c>
      <c r="T112" s="44">
        <f t="shared" si="28"/>
        <v>24656.0345828317</v>
      </c>
      <c r="U112" s="44">
        <f t="shared" si="29"/>
        <v>240</v>
      </c>
      <c r="V112" s="44">
        <v>0</v>
      </c>
      <c r="W112" s="45">
        <f t="shared" si="30"/>
        <v>0</v>
      </c>
      <c r="X112" s="44">
        <f t="shared" si="31"/>
        <v>0</v>
      </c>
      <c r="Y112" s="46">
        <f t="shared" si="32"/>
        <v>0</v>
      </c>
      <c r="Z112" s="44">
        <f t="shared" si="33"/>
        <v>153701760.000001</v>
      </c>
      <c r="AA112" s="44">
        <f t="shared" si="34"/>
        <v>152820259.172263</v>
      </c>
      <c r="AB112" s="44">
        <f t="shared" si="35"/>
        <v>78668673.0574209</v>
      </c>
      <c r="AC112" s="44">
        <f t="shared" si="36"/>
        <v>0</v>
      </c>
      <c r="AD112" s="44">
        <f t="shared" si="37"/>
        <v>12022400</v>
      </c>
      <c r="AE112" s="44">
        <f>IFERROR(VLOOKUP(C112,#REF!,5,0),0)</f>
        <v>0</v>
      </c>
      <c r="AF112" s="44">
        <f t="shared" si="38"/>
        <v>0</v>
      </c>
      <c r="AG112" s="44">
        <f t="shared" si="39"/>
        <v>0</v>
      </c>
      <c r="AH112" s="44">
        <f t="shared" si="40"/>
        <v>0</v>
      </c>
      <c r="AI112" s="44">
        <f t="shared" si="41"/>
        <v>0</v>
      </c>
      <c r="AJ112" s="44">
        <f t="shared" si="42"/>
        <v>0</v>
      </c>
      <c r="AK112" s="44">
        <f t="shared" si="43"/>
        <v>0</v>
      </c>
      <c r="AL112" s="43" t="s">
        <v>45</v>
      </c>
      <c r="AM112" s="47">
        <f t="shared" si="44"/>
        <v>-240</v>
      </c>
      <c r="AN112" s="43">
        <v>0</v>
      </c>
      <c r="AO112" s="43">
        <v>0</v>
      </c>
      <c r="AP112" s="48">
        <v>0</v>
      </c>
      <c r="AQ112" s="3">
        <f t="shared" si="46"/>
        <v>0</v>
      </c>
      <c r="AR112" s="1">
        <f>W112-AQ112</f>
        <v>0</v>
      </c>
    </row>
    <row r="113" spans="1:44">
      <c r="A113" s="42" t="e">
        <f t="shared" si="26"/>
        <v>#REF!</v>
      </c>
      <c r="B113" s="43" t="s">
        <v>26</v>
      </c>
      <c r="C113" s="43" t="s">
        <v>306</v>
      </c>
      <c r="D113" s="43" t="s">
        <v>307</v>
      </c>
      <c r="E113" s="43" t="s">
        <v>4</v>
      </c>
      <c r="F113" s="44">
        <v>12325</v>
      </c>
      <c r="G113" s="44">
        <v>13785.3333333333</v>
      </c>
      <c r="H113" s="44">
        <v>11720.7286002665</v>
      </c>
      <c r="I113" s="44">
        <v>11031.2428667555</v>
      </c>
      <c r="J113" s="44">
        <v>31154</v>
      </c>
      <c r="K113" s="44">
        <v>240</v>
      </c>
      <c r="L113" s="44">
        <v>0</v>
      </c>
      <c r="M113" s="44">
        <v>22320</v>
      </c>
      <c r="N113" s="44">
        <v>0</v>
      </c>
      <c r="O113" s="44">
        <v>0</v>
      </c>
      <c r="P113" s="44">
        <v>240</v>
      </c>
      <c r="Q113" s="44">
        <v>55</v>
      </c>
      <c r="R113" s="44">
        <v>53714</v>
      </c>
      <c r="S113" s="44">
        <v>146.077828170775</v>
      </c>
      <c r="T113" s="44">
        <f t="shared" si="28"/>
        <v>0</v>
      </c>
      <c r="U113" s="44">
        <f t="shared" si="29"/>
        <v>0</v>
      </c>
      <c r="V113" s="44">
        <f>IFERROR(IF(OR(I113&lt;=0,H113&lt;=0),0,IF(AND((J113+K113+M113+U113+N113-H113)/G113*30&lt;1.5*Q113,U113&gt;T113),U113,T113)),0)</f>
        <v>0</v>
      </c>
      <c r="W113" s="45">
        <f t="shared" si="30"/>
        <v>0</v>
      </c>
      <c r="X113" s="44">
        <f t="shared" si="31"/>
        <v>114.202738277898</v>
      </c>
      <c r="Y113" s="46">
        <f t="shared" si="32"/>
        <v>0</v>
      </c>
      <c r="Z113" s="44">
        <f t="shared" si="33"/>
        <v>169904233.333333</v>
      </c>
      <c r="AA113" s="44">
        <f t="shared" si="34"/>
        <v>144457979.998285</v>
      </c>
      <c r="AB113" s="44">
        <f t="shared" si="35"/>
        <v>135960068.332762</v>
      </c>
      <c r="AC113" s="44">
        <f t="shared" si="36"/>
        <v>0</v>
      </c>
      <c r="AD113" s="44">
        <f t="shared" si="37"/>
        <v>662025050</v>
      </c>
      <c r="AE113" s="44">
        <f>IFERROR(VLOOKUP(C113,#REF!,5,0),0)</f>
        <v>0</v>
      </c>
      <c r="AF113" s="44">
        <f t="shared" si="38"/>
        <v>0</v>
      </c>
      <c r="AG113" s="44">
        <f t="shared" si="39"/>
        <v>0</v>
      </c>
      <c r="AH113" s="44">
        <f t="shared" si="40"/>
        <v>0</v>
      </c>
      <c r="AI113" s="44">
        <f t="shared" si="41"/>
        <v>0</v>
      </c>
      <c r="AJ113" s="44">
        <f t="shared" si="42"/>
        <v>0</v>
      </c>
      <c r="AK113" s="44">
        <f t="shared" si="43"/>
        <v>0</v>
      </c>
      <c r="AL113" s="43" t="s">
        <v>45</v>
      </c>
      <c r="AM113" s="47">
        <f t="shared" si="44"/>
        <v>0</v>
      </c>
      <c r="AN113" s="43">
        <v>0</v>
      </c>
      <c r="AO113" s="43">
        <v>0</v>
      </c>
      <c r="AP113" s="48">
        <v>0</v>
      </c>
      <c r="AQ113" s="3">
        <f t="shared" si="46"/>
        <v>0</v>
      </c>
      <c r="AR113" s="1">
        <f>W113-AQ113</f>
        <v>0</v>
      </c>
    </row>
    <row r="114" spans="1:44">
      <c r="A114" s="42" t="e">
        <f t="shared" si="26"/>
        <v>#REF!</v>
      </c>
      <c r="B114" s="43" t="s">
        <v>26</v>
      </c>
      <c r="C114" s="43" t="s">
        <v>308</v>
      </c>
      <c r="D114" s="43" t="s">
        <v>309</v>
      </c>
      <c r="E114" s="43" t="s">
        <v>4</v>
      </c>
      <c r="F114" s="44">
        <v>12325</v>
      </c>
      <c r="G114" s="44">
        <v>3664</v>
      </c>
      <c r="H114" s="44">
        <v>2766.88629962643</v>
      </c>
      <c r="I114" s="44">
        <v>2787.62876654214</v>
      </c>
      <c r="J114" s="44">
        <v>8722</v>
      </c>
      <c r="K114" s="44">
        <v>0</v>
      </c>
      <c r="L114" s="44">
        <v>0</v>
      </c>
      <c r="M114" s="44">
        <v>720</v>
      </c>
      <c r="N114" s="44">
        <v>0</v>
      </c>
      <c r="O114" s="44">
        <v>240</v>
      </c>
      <c r="P114" s="44">
        <v>240</v>
      </c>
      <c r="Q114" s="44">
        <v>55</v>
      </c>
      <c r="R114" s="44">
        <v>9442</v>
      </c>
      <c r="S114" s="44">
        <v>101.613243269606</v>
      </c>
      <c r="T114" s="44">
        <f t="shared" si="28"/>
        <v>0</v>
      </c>
      <c r="U114" s="44">
        <f t="shared" si="29"/>
        <v>0</v>
      </c>
      <c r="V114" s="44">
        <f>IFERROR(IF(OR(I114&lt;=0,H114&lt;=0),0,IF(AND((J114+K114+M114+U114+N114-H114)/G114*30&lt;1.5*Q114,U114&gt;T114),U114,T114)),0)</f>
        <v>0</v>
      </c>
      <c r="W114" s="45">
        <f t="shared" si="30"/>
        <v>0</v>
      </c>
      <c r="X114" s="44">
        <f t="shared" si="31"/>
        <v>71.8364702698943</v>
      </c>
      <c r="Y114" s="46">
        <f t="shared" si="32"/>
        <v>0</v>
      </c>
      <c r="Z114" s="44">
        <f t="shared" si="33"/>
        <v>45158800</v>
      </c>
      <c r="AA114" s="44">
        <f t="shared" si="34"/>
        <v>34101873.6428958</v>
      </c>
      <c r="AB114" s="44">
        <f t="shared" si="35"/>
        <v>34357524.5476319</v>
      </c>
      <c r="AC114" s="44">
        <f t="shared" si="36"/>
        <v>0</v>
      </c>
      <c r="AD114" s="44">
        <f t="shared" si="37"/>
        <v>116372650</v>
      </c>
      <c r="AE114" s="44">
        <f>IFERROR(VLOOKUP(C114,#REF!,5,0),0)</f>
        <v>0</v>
      </c>
      <c r="AF114" s="44">
        <f t="shared" si="38"/>
        <v>0</v>
      </c>
      <c r="AG114" s="44">
        <f t="shared" si="39"/>
        <v>0</v>
      </c>
      <c r="AH114" s="44">
        <f t="shared" si="40"/>
        <v>0</v>
      </c>
      <c r="AI114" s="44">
        <f t="shared" si="41"/>
        <v>0</v>
      </c>
      <c r="AJ114" s="44">
        <f t="shared" si="42"/>
        <v>0</v>
      </c>
      <c r="AK114" s="44">
        <f t="shared" si="43"/>
        <v>0</v>
      </c>
      <c r="AL114" s="43" t="s">
        <v>45</v>
      </c>
      <c r="AM114" s="47">
        <f t="shared" si="44"/>
        <v>0</v>
      </c>
      <c r="AN114" s="43">
        <v>0</v>
      </c>
      <c r="AO114" s="43">
        <v>0</v>
      </c>
      <c r="AP114" s="48">
        <v>0</v>
      </c>
      <c r="AQ114" s="3">
        <f t="shared" si="46"/>
        <v>0</v>
      </c>
      <c r="AR114" s="1">
        <f>W114-AQ114</f>
        <v>0</v>
      </c>
    </row>
    <row r="115" spans="1:44">
      <c r="A115" s="42" t="e">
        <f t="shared" si="26"/>
        <v>#REF!</v>
      </c>
      <c r="B115" s="43" t="s">
        <v>26</v>
      </c>
      <c r="C115" s="43" t="s">
        <v>310</v>
      </c>
      <c r="D115" s="43" t="s">
        <v>311</v>
      </c>
      <c r="E115" s="43" t="s">
        <v>4</v>
      </c>
      <c r="F115" s="44">
        <v>12325</v>
      </c>
      <c r="G115" s="44">
        <v>3724.33333333334</v>
      </c>
      <c r="H115" s="44">
        <v>2693.4699275695</v>
      </c>
      <c r="I115" s="44">
        <v>2995.4899758565</v>
      </c>
      <c r="J115" s="44">
        <v>10211</v>
      </c>
      <c r="K115" s="44">
        <v>720</v>
      </c>
      <c r="L115" s="44">
        <v>0</v>
      </c>
      <c r="M115" s="44">
        <v>964</v>
      </c>
      <c r="N115" s="44">
        <v>0</v>
      </c>
      <c r="O115" s="44">
        <v>0</v>
      </c>
      <c r="P115" s="44">
        <v>240</v>
      </c>
      <c r="Q115" s="44">
        <v>55</v>
      </c>
      <c r="R115" s="44">
        <v>11895</v>
      </c>
      <c r="S115" s="44">
        <v>119.129091693243</v>
      </c>
      <c r="T115" s="44">
        <f t="shared" si="28"/>
        <v>0</v>
      </c>
      <c r="U115" s="44">
        <f t="shared" si="29"/>
        <v>0</v>
      </c>
      <c r="V115" s="44">
        <f>IFERROR(IF(OR(I115&lt;=0,H115&lt;=0),0,IF(AND((J115+K115+M115+U115+N115-H115)/G115*30&lt;1.5*Q115,U115&gt;T115),U115,T115)),0)</f>
        <v>0</v>
      </c>
      <c r="W115" s="45">
        <f t="shared" si="30"/>
        <v>0</v>
      </c>
      <c r="X115" s="44">
        <f t="shared" si="31"/>
        <v>92.1538394045152</v>
      </c>
      <c r="Y115" s="46">
        <f t="shared" si="32"/>
        <v>0</v>
      </c>
      <c r="Z115" s="44">
        <f t="shared" si="33"/>
        <v>45902408.3333334</v>
      </c>
      <c r="AA115" s="44">
        <f t="shared" si="34"/>
        <v>33197016.8572941</v>
      </c>
      <c r="AB115" s="44">
        <f t="shared" si="35"/>
        <v>36919413.9524314</v>
      </c>
      <c r="AC115" s="44">
        <f t="shared" si="36"/>
        <v>0</v>
      </c>
      <c r="AD115" s="44">
        <f t="shared" si="37"/>
        <v>146605875</v>
      </c>
      <c r="AE115" s="44">
        <f>IFERROR(VLOOKUP(C115,#REF!,5,0),0)</f>
        <v>0</v>
      </c>
      <c r="AF115" s="44">
        <f t="shared" si="38"/>
        <v>0</v>
      </c>
      <c r="AG115" s="44">
        <f t="shared" si="39"/>
        <v>0</v>
      </c>
      <c r="AH115" s="44">
        <f t="shared" si="40"/>
        <v>0</v>
      </c>
      <c r="AI115" s="44">
        <f t="shared" si="41"/>
        <v>0</v>
      </c>
      <c r="AJ115" s="44">
        <f t="shared" si="42"/>
        <v>0</v>
      </c>
      <c r="AK115" s="44">
        <f t="shared" si="43"/>
        <v>0</v>
      </c>
      <c r="AL115" s="43" t="s">
        <v>45</v>
      </c>
      <c r="AM115" s="47">
        <f t="shared" si="44"/>
        <v>0</v>
      </c>
      <c r="AN115" s="43">
        <v>0</v>
      </c>
      <c r="AO115" s="43">
        <v>0</v>
      </c>
      <c r="AP115" s="48">
        <v>0</v>
      </c>
      <c r="AQ115" s="3">
        <f t="shared" si="46"/>
        <v>0</v>
      </c>
      <c r="AR115" s="1">
        <f>W115-AQ115</f>
        <v>0</v>
      </c>
    </row>
    <row r="116" spans="1:44">
      <c r="A116" s="42" t="e">
        <f t="shared" si="26"/>
        <v>#REF!</v>
      </c>
      <c r="B116" s="43" t="s">
        <v>26</v>
      </c>
      <c r="C116" s="43" t="s">
        <v>312</v>
      </c>
      <c r="D116" s="43" t="s">
        <v>313</v>
      </c>
      <c r="E116" s="43" t="s">
        <v>3</v>
      </c>
      <c r="F116" s="44">
        <v>22440</v>
      </c>
      <c r="G116" s="44">
        <v>4760.33333333334</v>
      </c>
      <c r="H116" s="44">
        <v>3034.16608471376</v>
      </c>
      <c r="I116" s="44">
        <v>3713.38869490459</v>
      </c>
      <c r="J116" s="44">
        <v>10149</v>
      </c>
      <c r="K116" s="44">
        <v>120</v>
      </c>
      <c r="L116" s="44">
        <v>0</v>
      </c>
      <c r="M116" s="44">
        <v>120</v>
      </c>
      <c r="N116" s="44">
        <v>0</v>
      </c>
      <c r="O116" s="44">
        <v>720</v>
      </c>
      <c r="P116" s="44">
        <v>120</v>
      </c>
      <c r="Q116" s="44">
        <v>55</v>
      </c>
      <c r="R116" s="44">
        <v>10389</v>
      </c>
      <c r="S116" s="44">
        <v>83.9314237229368</v>
      </c>
      <c r="T116" s="44">
        <f t="shared" si="28"/>
        <v>0</v>
      </c>
      <c r="U116" s="44">
        <f t="shared" si="29"/>
        <v>600</v>
      </c>
      <c r="V116" s="44">
        <v>0</v>
      </c>
      <c r="W116" s="45">
        <f t="shared" si="30"/>
        <v>0</v>
      </c>
      <c r="X116" s="44">
        <f t="shared" si="31"/>
        <v>59.4187777221788</v>
      </c>
      <c r="Y116" s="46">
        <f t="shared" si="32"/>
        <v>0</v>
      </c>
      <c r="Z116" s="44">
        <f t="shared" si="33"/>
        <v>106821880</v>
      </c>
      <c r="AA116" s="44">
        <f t="shared" si="34"/>
        <v>68086686.9409767</v>
      </c>
      <c r="AB116" s="44">
        <f t="shared" si="35"/>
        <v>83328442.3136589</v>
      </c>
      <c r="AC116" s="44">
        <f t="shared" si="36"/>
        <v>0</v>
      </c>
      <c r="AD116" s="44">
        <f t="shared" si="37"/>
        <v>233129160</v>
      </c>
      <c r="AE116" s="44">
        <f>IFERROR(VLOOKUP(C116,#REF!,5,0),0)</f>
        <v>0</v>
      </c>
      <c r="AF116" s="44">
        <f t="shared" si="38"/>
        <v>0</v>
      </c>
      <c r="AG116" s="44">
        <f t="shared" si="39"/>
        <v>0</v>
      </c>
      <c r="AH116" s="44">
        <f t="shared" si="40"/>
        <v>0</v>
      </c>
      <c r="AI116" s="44">
        <f t="shared" si="41"/>
        <v>0</v>
      </c>
      <c r="AJ116" s="44">
        <f t="shared" si="42"/>
        <v>0</v>
      </c>
      <c r="AK116" s="44">
        <f t="shared" si="43"/>
        <v>0</v>
      </c>
      <c r="AL116" s="43" t="s">
        <v>45</v>
      </c>
      <c r="AM116" s="47">
        <f t="shared" si="44"/>
        <v>-600</v>
      </c>
      <c r="AN116" s="43">
        <v>480</v>
      </c>
      <c r="AO116" s="43">
        <v>600</v>
      </c>
      <c r="AP116" s="48">
        <v>840</v>
      </c>
      <c r="AQ116" s="3">
        <v>0</v>
      </c>
      <c r="AR116" s="1">
        <f>W116-AQ116</f>
        <v>0</v>
      </c>
    </row>
  </sheetData>
  <sortState ref="A7:AS116">
    <sortCondition ref="AL7:AL116"/>
  </sortState>
  <mergeCells count="2">
    <mergeCell ref="Y3:AD3"/>
    <mergeCell ref="AE3:AK3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REKAP</vt:lpstr>
      <vt:lpstr>US</vt:lpstr>
      <vt:lpstr>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Dropping MBS</dc:title>
  <dc:creator>IT Corp</dc:creator>
  <dc:description>List of Inventory near ED</dc:description>
  <cp:lastModifiedBy>andri chris</cp:lastModifiedBy>
  <dcterms:created xsi:type="dcterms:W3CDTF">2020-05-12T10:45:00Z</dcterms:created>
  <dcterms:modified xsi:type="dcterms:W3CDTF">2026-10-02T04:22:51Z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KSOReadingLayout">
    <vt:bool>true</vt:bool>
  </property>
  <property fmtid="{D5CDD505-2E9C-101B-9397-08002B2CF9AE}" pid="4" name="ICV">
    <vt:lpwstr>1B685B55AF5146A2845365C75F0642BB_13</vt:lpwstr>
  </property>
  <property fmtid="{D5CDD505-2E9C-101B-9397-08002B2CF9AE}" pid="5" name="CalculationRule">
    <vt:i4>0</vt:i4>
  </property>
</Properties>
</file>